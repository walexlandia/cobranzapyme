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cb0c4bd5a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217246f39874285"/>
    <x:sheet xmlns:r="http://schemas.openxmlformats.org/officeDocument/2006/relationships" name="Facturas" sheetId="2" r:id="R943cc551200a418e"/>
    <x:sheet xmlns:r="http://schemas.openxmlformats.org/officeDocument/2006/relationships" name="Contactos" sheetId="3" r:id="R990a94b11640454f"/>
    <x:sheet xmlns:r="http://schemas.openxmlformats.org/officeDocument/2006/relationships" name="Pagadores" sheetId="4" r:id="R11d9ba4a015f428a"/>
    <x:sheet xmlns:r="http://schemas.openxmlformats.org/officeDocument/2006/relationships" name="Pymes" sheetId="5" r:id="Ra2e0b7daf67841e9"/>
    <x:sheet xmlns:r="http://schemas.openxmlformats.org/officeDocument/2006/relationships" name="Pagos" sheetId="6" r:id="Rad46404fdc3340f6"/>
    <x:sheet xmlns:r="http://schemas.openxmlformats.org/officeDocument/2006/relationships" name="Checklist" sheetId="7" r:id="Rce207dee08bf407d"/>
    <x:sheet xmlns:r="http://schemas.openxmlformats.org/officeDocument/2006/relationships" name="Casos inválidos" sheetId="8" r:id="R08b897b8a24a4518"/>
    <x:sheet xmlns:r="http://schemas.openxmlformats.org/officeDocument/2006/relationships" name="Guía" sheetId="9" r:id="R723e33fa1584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yyyy-mm-dd"/>
    <x:numFmt numFmtId="202" formatCode="$#,##0"/>
    <x:numFmt numFmtId="203" formatCode="0"/>
    <x:numFmt numFmtId="204" formatCode="0.0%"/>
  </x:numFmts>
  <x:fonts count="6">
    <x:font>
      <x:sz val="11"/>
      <x:name val="Carlito"/>
    </x:font>
    <x:font>
      <x:sz val="10"/>
      <x:color rgb="FF17332D"/>
      <x:name val="Arial"/>
    </x:font>
    <x:font>
      <x:b/>
      <x:sz val="10"/>
      <x:color rgb="FFFFFFFF"/>
      <x:name val="Arial"/>
    </x:font>
    <x:font>
      <x:b/>
      <x:sz val="16"/>
      <x:color rgb="FF17332D"/>
      <x:name val="Arial"/>
    </x:font>
    <x:font>
      <x:b/>
      <x:sz val="11"/>
      <x:color rgb="FF17332D"/>
      <x:name val="Arial"/>
    </x:font>
    <x:font>
      <x:i/>
      <x:sz val="10"/>
      <x:color rgb="FF17332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6B52"/>
      </x:patternFill>
    </x:fill>
    <x:fill>
      <x:patternFill patternType="solid">
        <x:fgColor rgb="FFF8D7D2"/>
      </x:patternFill>
    </x:fill>
    <x:fill>
      <x:patternFill patternType="solid">
        <x:fgColor rgb="FFDDEDE6"/>
      </x:patternFill>
    </x:fill>
    <x:fill>
      <x:patternFill patternType="solid">
        <x:fgColor rgb="FFF7E7B3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176B52"/>
      </x:bottom>
      <x:diagonal/>
    </x:border>
    <x:border>
      <x:left style="thin">
        <x:color rgb="FFCFD8D3"/>
      </x:left>
      <x:right style="thin">
        <x:color rgb="FFFFFFFF"/>
      </x:right>
      <x:top style="thin">
        <x:color rgb="FFCFD8D3"/>
      </x:top>
      <x:bottom/>
      <x:diagonal/>
    </x:border>
    <x:border>
      <x:left style="thin">
        <x:color rgb="FFFFFFFF"/>
      </x:left>
      <x:right style="thin">
        <x:color rgb="FFCFD8D3"/>
      </x:right>
      <x:top style="thin">
        <x:color rgb="FFCFD8D3"/>
      </x:top>
      <x:bottom/>
      <x:diagonal/>
    </x:border>
    <x:border>
      <x:left style="thin">
        <x:color rgb="FFCFD8D3"/>
      </x:left>
      <x:right/>
      <x:top/>
      <x:bottom/>
      <x:diagonal/>
    </x:border>
    <x:border>
      <x:left/>
      <x:right style="thin">
        <x:color rgb="FFCFD8D3"/>
      </x:right>
      <x:top/>
      <x:bottom/>
      <x:diagonal/>
    </x:border>
    <x:border>
      <x:left style="thin">
        <x:color rgb="FFCFD8D3"/>
      </x:left>
      <x:right/>
      <x:top/>
      <x:bottom style="thin">
        <x:color rgb="FFCFD8D3"/>
      </x:bottom>
      <x:diagonal/>
    </x:border>
    <x:border>
      <x:left/>
      <x:right style="thin">
        <x:color rgb="FFCFD8D3"/>
      </x:right>
      <x:top/>
      <x:bottom style="thin">
        <x:color rgb="FFCFD8D3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CFD8D3"/>
      </x:top>
      <x:bottom/>
      <x:diagonal/>
    </x:border>
    <x:border>
      <x:left/>
      <x:right/>
      <x:top/>
      <x:bottom style="thin">
        <x:color rgb="FFCFD8D3"/>
      </x:bottom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0" borderId="4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1" fillId="4" borderId="7" xfId="0" applyNumberFormat="1" applyFont="1" applyFill="1" applyBorder="1"/>
    <x:xf numFmtId="0" fontId="4" fillId="0" borderId="8" xfId="0" applyNumberFormat="1" applyFont="1" applyFill="1" applyBorder="1"/>
    <x:xf numFmtId="202" fontId="4" fillId="0" borderId="8" xfId="0" applyNumberFormat="1" applyFont="1" applyFill="1" applyBorder="1"/>
    <x:xf numFmtId="0" fontId="1" fillId="4" borderId="9" xfId="0" applyNumberFormat="1" applyFont="1" applyFill="1" applyBorder="1"/>
    <x:xf numFmtId="0" fontId="4" fillId="0" borderId="10" xfId="0" applyNumberFormat="1" applyFont="1" applyFill="1" applyBorder="1"/>
    <x:xf numFmtId="0" fontId="0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2" borderId="11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/>
    <x:xf numFmtId="0" fontId="0" fillId="0" borderId="0" xfId="0" applyNumberFormat="1" applyFont="1" applyFill="1" applyBorder="1"/>
    <x:xf numFmtId="202" fontId="0" fillId="0" borderId="8" xfId="0" applyNumberFormat="1" applyFont="1" applyFill="1" applyBorder="1"/>
    <x:xf numFmtId="0" fontId="0" fillId="4" borderId="9" xfId="0" applyNumberFormat="1" applyFont="1" applyFill="1" applyBorder="1"/>
    <x:xf numFmtId="0" fontId="0" fillId="0" borderId="12" xfId="0" applyNumberFormat="1" applyFont="1" applyFill="1" applyBorder="1"/>
    <x:xf numFmtId="202" fontId="0" fillId="0" borderId="10" xfId="0" applyNumberFormat="1" applyFont="1" applyFill="1" applyBorder="1"/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2" fontId="0" fillId="0" borderId="12" xfId="0" applyNumberFormat="1" applyFont="1" applyFill="1" applyBorder="1"/>
    <x:xf numFmtId="204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B2C22"/>
      </x:font>
      <x:fill>
        <x:patternFill patternType="solid">
          <x:bgColor rgb="FFF8D7D2"/>
        </x:patternFill>
      </x:fill>
    </x:dxf>
    <x:dxf>
      <x:font>
        <x:b/>
        <x:color rgb="FF7A5711"/>
      </x:font>
      <x:fill>
        <x:patternFill patternType="solid">
          <x:bgColor rgb="FFF7E7B3"/>
        </x:patternFill>
      </x:fill>
    </x:dxf>
    <x:dxf>
      <x:font>
        <x:b/>
        <x:color rgb="FF9B2C22"/>
      </x:font>
      <x:fill>
        <x:patternFill patternType="solid">
          <x:bgColor rgb="FFF8D7D2"/>
        </x:patternFill>
      </x:fill>
    </x:dxf>
    <x:dxf>
      <x:font>
        <x:b/>
        <x:color rgb="FF7A5711"/>
      </x:font>
      <x:fill>
        <x:patternFill patternType="solid">
          <x:bgColor rgb="FFF7E7B3"/>
        </x:patternFill>
      </x:fill>
    </x:dxf>
    <x:dxf>
      <x:font>
        <x:b/>
        <x:color rgb="FF9B2C22"/>
      </x:font>
      <x:fill>
        <x:patternFill patternType="solid">
          <x:bgColor rgb="FFF8D7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302dedbf4436c" /><Relationship Type="http://schemas.openxmlformats.org/officeDocument/2006/relationships/theme" Target="/xl/theme/theme1.xml" Id="Rde74f54195874510" /><Relationship Type="http://schemas.openxmlformats.org/officeDocument/2006/relationships/sharedStrings" Target="/xl/sharedStrings.xml" Id="Rb9a81c0115cb49d2" /><Relationship Type="http://schemas.openxmlformats.org/officeDocument/2006/relationships/worksheet" Target="/xl/worksheets/sheet1.xml" Id="R1217246f39874285" /><Relationship Type="http://schemas.openxmlformats.org/officeDocument/2006/relationships/worksheet" Target="/xl/worksheets/sheet2.xml" Id="R943cc551200a418e" /><Relationship Type="http://schemas.openxmlformats.org/officeDocument/2006/relationships/worksheet" Target="/xl/worksheets/sheet3.xml" Id="R990a94b11640454f" /><Relationship Type="http://schemas.openxmlformats.org/officeDocument/2006/relationships/worksheet" Target="/xl/worksheets/sheet4.xml" Id="R11d9ba4a015f428a" /><Relationship Type="http://schemas.openxmlformats.org/officeDocument/2006/relationships/worksheet" Target="/xl/worksheets/sheet5.xml" Id="Ra2e0b7daf67841e9" /><Relationship Type="http://schemas.openxmlformats.org/officeDocument/2006/relationships/worksheet" Target="/xl/worksheets/sheet6.xml" Id="Rad46404fdc3340f6" /><Relationship Type="http://schemas.openxmlformats.org/officeDocument/2006/relationships/worksheet" Target="/xl/worksheets/sheet7.xml" Id="Rce207dee08bf407d" /><Relationship Type="http://schemas.openxmlformats.org/officeDocument/2006/relationships/worksheet" Target="/xl/worksheets/sheet8.xml" Id="R08b897b8a24a4518" /><Relationship Type="http://schemas.openxmlformats.org/officeDocument/2006/relationships/worksheet" Target="/xl/worksheets/sheet9.xml" Id="R723e33fa15844043" /></Relationships>
</file>

<file path=xl/tables/table1.xml><?xml version="1.0" encoding="utf-8"?>
<x:table xmlns:x="http://schemas.openxmlformats.org/spreadsheetml/2006/main" id="4" name="InvoicesTable" displayName="InvoicesTable" ref="A1:Y121" headerRowCount="1" totalsRowCount="0" totalsRowShown="0">
  <x:autoFilter ref="A1:Y121"/>
  <x:tableColumns count="25">
    <x:tableColumn id="1" name="Factura ID"/>
    <x:tableColumn id="2" name="RUT pyme"/>
    <x:tableColumn id="3" name="Pyme"/>
    <x:tableColumn id="4" name="RUT receptor"/>
    <x:tableColumn id="5" name="Razón social"/>
    <x:tableColumn id="6" name="Tipo documento"/>
    <x:tableColumn id="7" name="Folio"/>
    <x:tableColumn id="8" name="Fecha emisión"/>
    <x:tableColumn id="9" name="Fecha vencimiento"/>
    <x:tableColumn id="10" name="Monto total"/>
    <x:tableColumn id="11" name="Moneda"/>
    <x:tableColumn id="12" name="OC requerida"/>
    <x:tableColumn id="13" name="OC"/>
    <x:tableColumn id="14" name="HES requerida"/>
    <x:tableColumn id="15" name="HES"/>
    <x:tableColumn id="16" name="Portal requerido"/>
    <x:tableColumn id="17" name="Fecha carga portal"/>
    <x:tableColumn id="18" name="Estado SII"/>
    <x:tableColumn id="19" name="Estado factura"/>
    <x:tableColumn id="20" name="Fecha pago"/>
    <x:tableColumn id="21" name="Causa atraso"/>
    <x:tableColumn id="22" name="Días atraso"/>
    <x:tableColumn id="23" name="Pagada en plazo"/>
    <x:tableColumn id="24" name="Evidencia"/>
    <x:tableColumn id="25" name="Nota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" name="ContactsTable" displayName="ContactsTable" ref="A1:J16" headerRowCount="1" totalsRowCount="0" totalsRowShown="0">
  <x:autoFilter ref="A1:J16"/>
  <x:tableColumns count="10">
    <x:tableColumn id="1" name="Contacto ID"/>
    <x:tableColumn id="2" name="RUT pyme"/>
    <x:tableColumn id="3" name="Pyme"/>
    <x:tableColumn id="4" name="RUT pagador"/>
    <x:tableColumn id="5" name="Razón social"/>
    <x:tableColumn id="6" name="Nombre contacto"/>
    <x:tableColumn id="7" name="Rol"/>
    <x:tableColumn id="8" name="Correo"/>
    <x:tableColumn id="9" name="Teléfono"/>
    <x:tableColumn id="10" name="Canal preferi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2" name="PayersTable" displayName="PayersTable" ref="A1:J9" headerRowCount="1" totalsRowCount="0" totalsRowShown="0">
  <x:autoFilter ref="A1:J9"/>
  <x:tableColumns count="10">
    <x:tableColumn id="1" name="RUT"/>
    <x:tableColumn id="2" name="Razón social"/>
    <x:tableColumn id="3" name="Sector"/>
    <x:tableColumn id="4" name="Requiere OC"/>
    <x:tableColumn id="5" name="Requiere HES"/>
    <x:tableColumn id="6" name="Requiere portal"/>
    <x:tableColumn id="7" name="Plazo pactado (días)"/>
    <x:tableColumn id="8" name="Ciclo de pago"/>
    <x:tableColumn id="9" name="Portal"/>
    <x:tableColumn id="10" name="Datos ficticio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PymesTable" displayName="PymesTable" ref="A1:H4" headerRowCount="1" totalsRowCount="0" totalsRowShown="0">
  <x:autoFilter ref="A1:H4"/>
  <x:tableColumns count="8">
    <x:tableColumn id="1" name="Pyme ID"/>
    <x:tableColumn id="2" name="RUT"/>
    <x:tableColumn id="3" name="Razón social"/>
    <x:tableColumn id="4" name="Rubro"/>
    <x:tableColumn id="5" name="Ciudad"/>
    <x:tableColumn id="6" name="DSO línea base"/>
    <x:tableColumn id="7" name="Remitente"/>
    <x:tableColumn id="8" name="Activ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PaymentsTable" displayName="PaymentsTable" ref="A1:H46" headerRowCount="1" totalsRowCount="0" totalsRowShown="0">
  <x:autoFilter ref="A1:H46"/>
  <x:tableColumns count="8">
    <x:tableColumn id="1" name="Pago ID"/>
    <x:tableColumn id="2" name="Factura ID"/>
    <x:tableColumn id="3" name="RUT pyme"/>
    <x:tableColumn id="4" name="Fecha pago"/>
    <x:tableColumn id="5" name="Monto"/>
    <x:tableColumn id="6" name="Verificado"/>
    <x:tableColumn id="7" name="Origen"/>
    <x:tableColumn id="8" name="Evidencia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hecklistTable" displayName="ChecklistTable" ref="A1:H481" headerRowCount="1" totalsRowCount="0" totalsRowShown="0">
  <x:autoFilter ref="A1:H481"/>
  <x:tableColumns count="8">
    <x:tableColumn id="1" name="Ítem ID"/>
    <x:tableColumn id="2" name="Factura ID"/>
    <x:tableColumn id="3" name="RUT pyme"/>
    <x:tableColumn id="4" name="Tipo"/>
    <x:tableColumn id="5" name="Estado"/>
    <x:tableColumn id="6" name="Responsable"/>
    <x:tableColumn id="7" name="Actualizado"/>
    <x:tableColumn id="8" name="Evidencia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InvalidCasesTable" displayName="InvalidCasesTable" ref="A1:J8" headerRowCount="1" totalsRowCount="0" totalsRowShown="0">
  <x:autoFilter ref="A1:J8"/>
  <x:tableColumns count="10">
    <x:tableColumn id="1" name="RUT receptor"/>
    <x:tableColumn id="2" name="Razón social"/>
    <x:tableColumn id="3" name="Tipo documento"/>
    <x:tableColumn id="4" name="Folio"/>
    <x:tableColumn id="5" name="Fecha emisión"/>
    <x:tableColumn id="6" name="Fecha vencimiento"/>
    <x:tableColumn id="7" name="Monto total"/>
    <x:tableColumn id="8" name="Moneda"/>
    <x:tableColumn id="9" name="OC"/>
    <x:tableColumn id="10" name="Error espera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0ff20360544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7997059cf8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0f35b92c064d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f3ee6c05b342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a79e857c7b42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61c86c5c3e48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90690e1d834331" /></Relationships>
</file>

<file path=xl/worksheets/sheet1.xml><?xml version="1.0" encoding="utf-8"?>
<x:worksheet xmlns:x="http://schemas.openxmlformats.org/spreadsheetml/2006/main">
  <x:sheetPr>
    <x:tabColor rgb="FF176B52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3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21" t="str">
        <x:v>Datos de prueba de Recupera</x:v>
      </x:c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t="str">
        <x:v>Fecha de corte</x:v>
      </x:c>
      <x:c r="B4" s="23" t="d">
        <x:v>2026-10-14T00:00:00.000Z</x:v>
      </x:c>
    </x:row>
    <x:row r="6">
      <x:c r="A6" s="35" t="str">
        <x:v>Métrica</x:v>
      </x:c>
      <x:c r="B6" s="36" t="str">
        <x:v>Resultado</x:v>
      </x:c>
      <x:c r="E6" s="35" t="str">
        <x:v>Pyme</x:v>
      </x:c>
      <x:c r="F6" s="46" t="str">
        <x:v>Facturas</x:v>
      </x:c>
      <x:c r="G6" s="46" t="str">
        <x:v>Monto</x:v>
      </x:c>
      <x:c r="H6" s="36" t="str">
        <x:v>% pagadas en plazo</x:v>
      </x:c>
    </x:row>
    <x:row r="7">
      <x:c r="A7" s="37" t="str">
        <x:v>Facturas</x:v>
      </x:c>
      <x:c r="B7" s="38" t="n">
        <x:f>COUNTA(Facturas!A2:A121)</x:f>
        <x:v>120</x:v>
      </x:c>
      <x:c r="E7" s="47" t="str">
        <x:v>Servicios Cordillera SpA</x:v>
      </x:c>
      <x:c r="F7" s="48" t="n">
        <x:f>COUNTIFS(Facturas!$C$2:$C$121,E7)</x:f>
        <x:v>40</x:v>
      </x:c>
      <x:c r="G7" s="24" t="n">
        <x:f>SUMIFS(Facturas!$J$2:$J$121,Facturas!$C$2:$C$121,E7)</x:f>
        <x:v>106940000</x:v>
      </x:c>
      <x:c r="H7" s="54" t="n">
        <x:f>COUNTIFS(Facturas!$C$2:$C$121,E7,Facturas!$W$2:$W$121,"Sí")/COUNTIFS(Facturas!$C$2:$C$121,E7,Facturas!$W$2:$W$121,"&lt;&gt;Pendiente")</x:f>
        <x:v>0.4666666666666667</x:v>
      </x:c>
    </x:row>
    <x:row r="8">
      <x:c r="A8" s="37" t="str">
        <x:v>Monto facturado</x:v>
      </x:c>
      <x:c r="B8" s="39" t="n">
        <x:f>SUM(Facturas!J2:J121)</x:f>
        <x:v>323820000</x:v>
      </x:c>
      <x:c r="E8" s="47" t="str">
        <x:v>Ingeniería del Sur Ltda.</x:v>
      </x:c>
      <x:c r="F8" s="48" t="n">
        <x:f>COUNTIFS(Facturas!$C$2:$C$121,E8)</x:f>
        <x:v>40</x:v>
      </x:c>
      <x:c r="G8" s="24" t="n">
        <x:f>SUMIFS(Facturas!$J$2:$J$121,Facturas!$C$2:$C$121,E8)</x:f>
        <x:v>107940000</x:v>
      </x:c>
      <x:c r="H8" s="54" t="n">
        <x:f>COUNTIFS(Facturas!$C$2:$C$121,E8,Facturas!$W$2:$W$121,"Sí")/COUNTIFS(Facturas!$C$2:$C$121,E8,Facturas!$W$2:$W$121,"&lt;&gt;Pendiente")</x:f>
        <x:v>0.42857142857142855</x:v>
      </x:c>
    </x:row>
    <x:row r="9">
      <x:c r="A9" s="37" t="str">
        <x:v>Facturas pagadas</x:v>
      </x:c>
      <x:c r="B9" s="38" t="n">
        <x:f>COUNTIFS(Facturas!S2:S121,"pagada")</x:f>
        <x:v>45</x:v>
      </x:c>
      <x:c r="E9" s="50" t="str">
        <x:v>Montajes Atacama SpA</x:v>
      </x:c>
      <x:c r="F9" s="51" t="n">
        <x:f>COUNTIFS(Facturas!$C$2:$C$121,E9)</x:f>
        <x:v>40</x:v>
      </x:c>
      <x:c r="G9" s="55" t="n">
        <x:f>SUMIFS(Facturas!$J$2:$J$121,Facturas!$C$2:$C$121,E9)</x:f>
        <x:v>108940000</x:v>
      </x:c>
      <x:c r="H9" s="56" t="n">
        <x:f>COUNTIFS(Facturas!$C$2:$C$121,E9,Facturas!$W$2:$W$121,"Sí")/COUNTIFS(Facturas!$C$2:$C$121,E9,Facturas!$W$2:$W$121,"&lt;&gt;Pendiente")</x:f>
        <x:v>0.4375</x:v>
      </x:c>
    </x:row>
    <x:row r="10">
      <x:c r="A10" s="37" t="str">
        <x:v>Pagadas en plazo</x:v>
      </x:c>
      <x:c r="B10" s="38" t="n">
        <x:f>COUNTIFS(Facturas!W2:W121,"Sí")</x:f>
        <x:v>20</x:v>
      </x:c>
    </x:row>
    <x:row r="11">
      <x:c r="A11" s="37" t="str">
        <x:v>Vencidas abiertas</x:v>
      </x:c>
      <x:c r="B11" s="38" t="n">
        <x:f>COUNTIFS(Facturas!I2:I121,"&lt;"&amp;$B$4,Facturas!S2:S121,"emitida")</x:f>
        <x:v>35</x:v>
      </x:c>
    </x:row>
    <x:row r="12">
      <x:c r="A12" s="40" t="str">
        <x:v>Atrasos documentales</x:v>
      </x:c>
      <x:c r="B12" s="41" t="n">
        <x:f>COUNTIFS(Facturas!U2:U121,"documental_sii")+COUNTIFS(Facturas!U2:U121,"documental_oc")+COUNTIFS(Facturas!U2:U121,"documental_hes_conformidad")+COUNTIFS(Facturas!U2:U121,"documental_portal")</x:f>
        <x:v>46</x:v>
      </x:c>
    </x:row>
    <x:row r="15">
      <x:c r="A15" s="35" t="str">
        <x:v>Causa de atraso</x:v>
      </x:c>
      <x:c r="B15" s="46" t="str">
        <x:v>Facturas</x:v>
      </x:c>
      <x:c r="C15" s="36" t="str">
        <x:v>Monto</x:v>
      </x:c>
    </x:row>
    <x:row r="16">
      <x:c r="A16" s="47" t="str">
        <x:v>documental_sii</x:v>
      </x:c>
      <x:c r="B16" s="48" t="n">
        <x:f>COUNTIFS(Facturas!$U$2:$U$121,A16)</x:f>
        <x:v>12</x:v>
      </x:c>
      <x:c r="C16" s="49" t="n">
        <x:f>SUMIFS(Facturas!$J$2:$J$121,Facturas!$U$2:$U$121,A16)</x:f>
        <x:v>28712000</x:v>
      </x:c>
    </x:row>
    <x:row r="17">
      <x:c r="A17" s="47" t="str">
        <x:v>documental_oc</x:v>
      </x:c>
      <x:c r="B17" s="48" t="n">
        <x:f>COUNTIFS(Facturas!$U$2:$U$121,A17)</x:f>
        <x:v>10</x:v>
      </x:c>
      <x:c r="C17" s="49" t="n">
        <x:f>SUMIFS(Facturas!$J$2:$J$121,Facturas!$U$2:$U$121,A17)</x:f>
        <x:v>27524000</x:v>
      </x:c>
    </x:row>
    <x:row r="18">
      <x:c r="A18" s="47" t="str">
        <x:v>documental_hes_conformidad</x:v>
      </x:c>
      <x:c r="B18" s="48" t="n">
        <x:f>COUNTIFS(Facturas!$U$2:$U$121,A18)</x:f>
        <x:v>12</x:v>
      </x:c>
      <x:c r="C18" s="49" t="n">
        <x:f>SUMIFS(Facturas!$J$2:$J$121,Facturas!$U$2:$U$121,A18)</x:f>
        <x:v>38128000</x:v>
      </x:c>
    </x:row>
    <x:row r="19">
      <x:c r="A19" s="47" t="str">
        <x:v>documental_portal</x:v>
      </x:c>
      <x:c r="B19" s="48" t="n">
        <x:f>COUNTIFS(Facturas!$U$2:$U$121,A19)</x:f>
        <x:v>12</x:v>
      </x:c>
      <x:c r="C19" s="49" t="n">
        <x:f>SUMIFS(Facturas!$J$2:$J$121,Facturas!$U$2:$U$121,A19)</x:f>
        <x:v>34804000</x:v>
      </x:c>
    </x:row>
    <x:row r="20">
      <x:c r="A20" s="47" t="str">
        <x:v>liquidez_pagador</x:v>
      </x:c>
      <x:c r="B20" s="48" t="n">
        <x:f>COUNTIFS(Facturas!$U$2:$U$121,A20)</x:f>
        <x:v>12</x:v>
      </x:c>
      <x:c r="C20" s="49" t="n">
        <x:f>SUMIFS(Facturas!$J$2:$J$121,Facturas!$U$2:$U$121,A20)</x:f>
        <x:v>31344000</x:v>
      </x:c>
    </x:row>
    <x:row r="21">
      <x:c r="A21" s="47" t="str">
        <x:v>disputa_comercial</x:v>
      </x:c>
      <x:c r="B21" s="48" t="n">
        <x:f>COUNTIFS(Facturas!$U$2:$U$121,A21)</x:f>
        <x:v>12</x:v>
      </x:c>
      <x:c r="C21" s="49" t="n">
        <x:f>SUMIFS(Facturas!$J$2:$J$121,Facturas!$U$2:$U$121,A21)</x:f>
        <x:v>29268000</x:v>
      </x:c>
    </x:row>
    <x:row r="22">
      <x:c r="A22" s="50" t="str">
        <x:v>proceso_interno_pagador</x:v>
      </x:c>
      <x:c r="B22" s="51" t="n">
        <x:f>COUNTIFS(Facturas!$U$2:$U$121,A22)</x:f>
        <x:v>20</x:v>
      </x:c>
      <x:c r="C22" s="52" t="n">
        <x:f>SUMIFS(Facturas!$J$2:$J$121,Facturas!$U$2:$U$121,A22)</x:f>
        <x:v>56120000</x:v>
      </x:c>
    </x:row>
    <x:row r="25" ht="26" customHeight="1">
      <x:c r="A25" s="60" t="str">
        <x:v>Todos los nombres, RUT, correos, teléfonos, portales, documentos y montos son ficticios. No representan empresas ni personas reales.</x:v>
      </x:c>
    </x:row>
    <x:row r="26" ht="26" customHeight="1"/>
  </x:sheetData>
  <x:mergeCells>
    <x:mergeCell ref="A2:H2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856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25" hidden="0" customWidth="1"/>
    <x:col min="2" max="2" width="11.25" hidden="0" customWidth="1"/>
    <x:col min="3" max="3" width="30" hidden="0" customWidth="1"/>
    <x:col min="4" max="4" width="13.630000114440918" hidden="0" customWidth="1"/>
    <x:col min="5" max="5" width="30" hidden="0" customWidth="1"/>
    <x:col min="6" max="6" width="16" hidden="0" customWidth="1"/>
    <x:col min="7" max="7" width="7" hidden="0" customWidth="1"/>
    <x:col min="8" max="8" width="14.630000114440918" hidden="0" customWidth="1"/>
    <x:col min="9" max="9" width="18.1299991607666" hidden="0" customWidth="1"/>
    <x:col min="10" max="10" width="12" hidden="0" customWidth="1"/>
    <x:col min="11" max="11" width="9.380000114440918" hidden="0" customWidth="1"/>
    <x:col min="12" max="12" width="13.630000114440918" hidden="0" customWidth="1"/>
    <x:col min="13" max="13" width="8.25" hidden="0" customWidth="1"/>
    <x:col min="14" max="14" width="14.5" hidden="0" customWidth="1"/>
    <x:col min="15" max="15" width="9.130000114440918" hidden="0" customWidth="1"/>
    <x:col min="16" max="16" width="15.880000114440918" hidden="0" customWidth="1"/>
    <x:col min="17" max="17" width="17.8799991607666" hidden="0" customWidth="1"/>
    <x:col min="18" max="18" width="11.130000114440918" hidden="0" customWidth="1"/>
    <x:col min="19" max="19" width="14.630000114440918" hidden="0" customWidth="1"/>
    <x:col min="20" max="20" width="12.380000114440918" hidden="0" customWidth="1"/>
    <x:col min="21" max="21" width="30" hidden="0" customWidth="1"/>
    <x:col min="22" max="22" width="12" hidden="0" customWidth="1"/>
    <x:col min="23" max="23" width="16.1299991607666" hidden="0" customWidth="1"/>
    <x:col min="24" max="24" width="30" hidden="0" customWidth="1"/>
    <x:col min="25" max="25" width="48" hidden="0" customWidth="1"/>
  </x:cols>
  <x:sheetData>
    <x:row r="1" ht="34" customHeight="1">
      <x:c r="A1" s="11" t="str">
        <x:v>Factura ID</x:v>
      </x:c>
      <x:c r="B1" s="12" t="str">
        <x:v>RUT pyme</x:v>
      </x:c>
      <x:c r="C1" s="12" t="str">
        <x:v>Pyme</x:v>
      </x:c>
      <x:c r="D1" s="12" t="str">
        <x:v>RUT receptor</x:v>
      </x:c>
      <x:c r="E1" s="12" t="str">
        <x:v>Razón social</x:v>
      </x:c>
      <x:c r="F1" s="12" t="str">
        <x:v>Tipo documento</x:v>
      </x:c>
      <x:c r="G1" s="12" t="str">
        <x:v>Folio</x:v>
      </x:c>
      <x:c r="H1" s="12" t="str">
        <x:v>Fecha emisión</x:v>
      </x:c>
      <x:c r="I1" s="12" t="str">
        <x:v>Fecha vencimiento</x:v>
      </x:c>
      <x:c r="J1" s="12" t="str">
        <x:v>Monto total</x:v>
      </x:c>
      <x:c r="K1" s="12" t="str">
        <x:v>Moneda</x:v>
      </x:c>
      <x:c r="L1" s="12" t="str">
        <x:v>OC requerida</x:v>
      </x:c>
      <x:c r="M1" s="12" t="str">
        <x:v>OC</x:v>
      </x:c>
      <x:c r="N1" s="12" t="str">
        <x:v>HES requerida</x:v>
      </x:c>
      <x:c r="O1" s="12" t="str">
        <x:v>HES</x:v>
      </x:c>
      <x:c r="P1" s="12" t="str">
        <x:v>Portal requerido</x:v>
      </x:c>
      <x:c r="Q1" s="12" t="str">
        <x:v>Fecha carga portal</x:v>
      </x:c>
      <x:c r="R1" s="12" t="str">
        <x:v>Estado SII</x:v>
      </x:c>
      <x:c r="S1" s="12" t="str">
        <x:v>Estado factura</x:v>
      </x:c>
      <x:c r="T1" s="12" t="str">
        <x:v>Fecha pago</x:v>
      </x:c>
      <x:c r="U1" s="12" t="str">
        <x:v>Causa atraso</x:v>
      </x:c>
      <x:c r="V1" s="12" t="str">
        <x:v>Días atraso</x:v>
      </x:c>
      <x:c r="W1" s="12" t="str">
        <x:v>Pagada en plazo</x:v>
      </x:c>
      <x:c r="X1" s="12" t="str">
        <x:v>Evidencia</x:v>
      </x:c>
      <x:c r="Y1" s="13" t="str">
        <x:v>Notas</x:v>
      </x:c>
    </x:row>
    <x:row r="2">
      <x:c r="A2" s="2" t="str">
        <x:v>FAC-1-0001</x:v>
      </x:c>
      <x:c r="B2" s="2" t="str">
        <x:v>76123456-0</x:v>
      </x:c>
      <x:c r="C2" s="2" t="str">
        <x:v>Servicios Cordillera SpA</x:v>
      </x:c>
      <x:c r="D2" s="2" t="str">
        <x:v>96000111-7</x:v>
      </x:c>
      <x:c r="E2" s="2" t="str">
        <x:v>Minera Horizonte S.A.</x:v>
      </x:c>
      <x:c r="F2" s="2" t="str">
        <x:v>factura</x:v>
      </x:c>
      <x:c r="G2" s="2" t="str">
        <x:v>11000</x:v>
      </x:c>
      <x:c r="H2" s="15" t="d">
        <x:v>2026-06-02T00:00:00.000Z</x:v>
      </x:c>
      <x:c r="I2" s="15" t="d">
        <x:v>2026-07-17T00:00:00.000Z</x:v>
      </x:c>
      <x:c r="J2" s="16" t="n">
        <x:v>380000</x:v>
      </x:c>
      <x:c r="K2" s="2" t="str">
        <x:v>CLP</x:v>
      </x:c>
      <x:c r="L2" s="2" t="str">
        <x:v>Sí</x:v>
      </x:c>
      <x:c r="M2" s="2" t="str">
        <x:v>OC-18100</x:v>
      </x:c>
      <x:c r="N2" s="2" t="str">
        <x:v>Sí</x:v>
      </x:c>
      <x:c r="O2" s="2" t="str">
        <x:v>HES-15200</x:v>
      </x:c>
      <x:c r="P2" s="2" t="str">
        <x:v>Sí</x:v>
      </x:c>
      <x:c r="Q2" s="15" t="d">
        <x:v>2026-06-04T00:00:00.000Z</x:v>
      </x:c>
      <x:c r="R2" s="2" t="str">
        <x:v>aceptada</x:v>
      </x:c>
      <x:c r="S2" s="2" t="str">
        <x:v>pagada</x:v>
      </x:c>
      <x:c r="T2" s="15" t="d">
        <x:v>2026-07-13T00:00:00.000Z</x:v>
      </x:c>
      <x:c r="U2" s="2" t="str"/>
      <x:c r="V2" s="17" t="n">
        <x:f>IF(T2&lt;&gt;"",MAX(0,T2-I2),MAX(0,DATE(2026,10,14)-I2))</x:f>
        <x:v>0</x:v>
      </x:c>
      <x:c r="W2" s="2" t="str">
        <x:f>IF(T2="","Pendiente",IF(T2&lt;=I2,"Sí","No"))</x:f>
        <x:v>Sí</x:v>
      </x:c>
      <x:c r="X2" s="2" t="str">
        <x:v>evidencias/FAC-1-0001-comprobante.pdf</x:v>
      </x:c>
      <x:c r="Y2" s="2" t="str">
        <x:v>Pago normal</x:v>
      </x:c>
    </x:row>
    <x:row r="3">
      <x:c r="A3" s="2" t="str">
        <x:v>FAC-1-0002</x:v>
      </x:c>
      <x:c r="B3" s="2" t="str">
        <x:v>76123456-0</x:v>
      </x:c>
      <x:c r="C3" s="2" t="str">
        <x:v>Servicios Cordillera SpA</x:v>
      </x:c>
      <x:c r="D3" s="2" t="str">
        <x:v>96000222-9</x:v>
      </x:c>
      <x:c r="E3" s="2" t="str">
        <x:v>Retail Pórtico S.A.</x:v>
      </x:c>
      <x:c r="F3" s="2" t="str">
        <x:v>factura</x:v>
      </x:c>
      <x:c r="G3" s="2" t="str">
        <x:v>11001</x:v>
      </x:c>
      <x:c r="H3" s="15" t="d">
        <x:v>2026-06-05T00:00:00.000Z</x:v>
      </x:c>
      <x:c r="I3" s="15" t="d">
        <x:v>2026-07-05T00:00:00.000Z</x:v>
      </x:c>
      <x:c r="J3" s="16" t="n">
        <x:v>553000</x:v>
      </x:c>
      <x:c r="K3" s="2" t="str">
        <x:v>CLP</x:v>
      </x:c>
      <x:c r="L3" s="2" t="str">
        <x:v>Sí</x:v>
      </x:c>
      <x:c r="M3" s="2" t="str">
        <x:v>OC-18101</x:v>
      </x:c>
      <x:c r="N3" s="2" t="str">
        <x:v>No</x:v>
      </x:c>
      <x:c r="O3" s="2" t="str"/>
      <x:c r="P3" s="2" t="str">
        <x:v>Sí</x:v>
      </x:c>
      <x:c r="Q3" s="15" t="d">
        <x:v>2026-06-07T00:00:00.000Z</x:v>
      </x:c>
      <x:c r="R3" s="2" t="str">
        <x:v>aceptada</x:v>
      </x:c>
      <x:c r="S3" s="2" t="str">
        <x:v>pagada</x:v>
      </x:c>
      <x:c r="T3" s="15" t="d">
        <x:v>2026-07-17T00:00:00.000Z</x:v>
      </x:c>
      <x:c r="U3" s="2" t="str">
        <x:v>documental_hes_conformidad</x:v>
      </x:c>
      <x:c r="V3" s="17" t="n">
        <x:f>IF(T3&lt;&gt;"",MAX(0,T3-I3),MAX(0,DATE(2026,10,14)-I3))</x:f>
        <x:v>12</x:v>
      </x:c>
      <x:c r="W3" s="2" t="str">
        <x:f>IF(T3="","Pendiente",IF(T3&lt;=I3,"Sí","No"))</x:f>
        <x:v>No</x:v>
      </x:c>
      <x:c r="X3" s="2" t="str">
        <x:v>evidencias/FAC-1-0002-comprobante.pdf</x:v>
      </x:c>
      <x:c r="Y3" s="2" t="str">
        <x:v>HES emitida después del vencimiento</x:v>
      </x:c>
    </x:row>
    <x:row r="4">
      <x:c r="A4" s="2" t="str">
        <x:v>FAC-1-0003</x:v>
      </x:c>
      <x:c r="B4" s="2" t="str">
        <x:v>76123456-0</x:v>
      </x:c>
      <x:c r="C4" s="2" t="str">
        <x:v>Servicios Cordillera SpA</x:v>
      </x:c>
      <x:c r="D4" s="2" t="str">
        <x:v>96000333-0</x:v>
      </x:c>
      <x:c r="E4" s="2" t="str">
        <x:v>Energía Austral SpA</x:v>
      </x:c>
      <x:c r="F4" s="2" t="str">
        <x:v>factura</x:v>
      </x:c>
      <x:c r="G4" s="2" t="str">
        <x:v>11002</x:v>
      </x:c>
      <x:c r="H4" s="15" t="d">
        <x:v>2026-06-08T00:00:00.000Z</x:v>
      </x:c>
      <x:c r="I4" s="15" t="d">
        <x:v>2026-07-23T00:00:00.000Z</x:v>
      </x:c>
      <x:c r="J4" s="16" t="n">
        <x:v>726000</x:v>
      </x:c>
      <x:c r="K4" s="2" t="str">
        <x:v>CLP</x:v>
      </x:c>
      <x:c r="L4" s="2" t="str">
        <x:v>Sí</x:v>
      </x:c>
      <x:c r="M4" s="2" t="str">
        <x:v>OC-18102</x:v>
      </x:c>
      <x:c r="N4" s="2" t="str">
        <x:v>Sí</x:v>
      </x:c>
      <x:c r="O4" s="2" t="str">
        <x:v>HES-15202</x:v>
      </x:c>
      <x:c r="P4" s="2" t="str">
        <x:v>Sí</x:v>
      </x:c>
      <x:c r="Q4" s="15" t="d">
        <x:v>2026-07-29T00:00:00.000Z</x:v>
      </x:c>
      <x:c r="R4" s="2" t="str">
        <x:v>aceptada</x:v>
      </x:c>
      <x:c r="S4" s="2" t="str">
        <x:v>pagada</x:v>
      </x:c>
      <x:c r="T4" s="15" t="d">
        <x:v>2026-07-31T00:00:00.000Z</x:v>
      </x:c>
      <x:c r="U4" s="2" t="str">
        <x:v>documental_portal</x:v>
      </x:c>
      <x:c r="V4" s="17" t="n">
        <x:f>IF(T4&lt;&gt;"",MAX(0,T4-I4),MAX(0,DATE(2026,10,14)-I4))</x:f>
        <x:v>8</x:v>
      </x:c>
      <x:c r="W4" s="2" t="str">
        <x:f>IF(T4="","Pendiente",IF(T4&lt;=I4,"Sí","No"))</x:f>
        <x:v>No</x:v>
      </x:c>
      <x:c r="X4" s="2" t="str">
        <x:v>evidencias/FAC-1-0003-comprobante.pdf</x:v>
      </x:c>
      <x:c r="Y4" s="2" t="str">
        <x:v>Carga en portal completada tarde</x:v>
      </x:c>
    </x:row>
    <x:row r="5">
      <x:c r="A5" s="2" t="str">
        <x:v>FAC-1-0004</x:v>
      </x:c>
      <x:c r="B5" s="2" t="str">
        <x:v>76123456-0</x:v>
      </x:c>
      <x:c r="C5" s="2" t="str">
        <x:v>Servicios Cordillera SpA</x:v>
      </x:c>
      <x:c r="D5" s="2" t="str">
        <x:v>96000444-2</x:v>
      </x:c>
      <x:c r="E5" s="2" t="str">
        <x:v>Constructora Valle Central S.A.</x:v>
      </x:c>
      <x:c r="F5" s="2" t="str">
        <x:v>factura</x:v>
      </x:c>
      <x:c r="G5" s="2" t="str">
        <x:v>11003</x:v>
      </x:c>
      <x:c r="H5" s="15" t="d">
        <x:v>2026-06-11T00:00:00.000Z</x:v>
      </x:c>
      <x:c r="I5" s="15" t="d">
        <x:v>2026-07-11T00:00:00.000Z</x:v>
      </x:c>
      <x:c r="J5" s="16" t="n">
        <x:v>899000</x:v>
      </x:c>
      <x:c r="K5" s="2" t="str">
        <x:v>CLP</x:v>
      </x:c>
      <x:c r="L5" s="2" t="str">
        <x:v>Sí</x:v>
      </x:c>
      <x:c r="M5" s="2" t="str"/>
      <x:c r="N5" s="2" t="str">
        <x:v>Sí</x:v>
      </x:c>
      <x:c r="O5" s="2" t="str">
        <x:v>HES-15203</x:v>
      </x:c>
      <x:c r="P5" s="2" t="str">
        <x:v>No</x:v>
      </x:c>
      <x:c r="Q5" s="15"/>
      <x:c r="R5" s="2" t="str">
        <x:v>aceptada</x:v>
      </x:c>
      <x:c r="S5" s="2" t="str">
        <x:v>emitida</x:v>
      </x:c>
      <x:c r="T5" s="15"/>
      <x:c r="U5" s="2" t="str">
        <x:v>documental_oc</x:v>
      </x:c>
      <x:c r="V5" s="17" t="n">
        <x:f>IF(T5&lt;&gt;"",MAX(0,T5-I5),MAX(0,DATE(2026,10,14)-I5))</x:f>
        <x:v>95</x:v>
      </x:c>
      <x:c r="W5" s="2" t="str">
        <x:f>IF(T5="","Pendiente",IF(T5&lt;=I5,"Sí","No"))</x:f>
        <x:v>Pendiente</x:v>
      </x:c>
      <x:c r="X5" s="2" t="str"/>
      <x:c r="Y5" s="2" t="str">
        <x:v>OC pendiente del solicitante</x:v>
      </x:c>
    </x:row>
    <x:row r="6">
      <x:c r="A6" s="2" t="str">
        <x:v>FAC-1-0005</x:v>
      </x:c>
      <x:c r="B6" s="2" t="str">
        <x:v>76123456-0</x:v>
      </x:c>
      <x:c r="C6" s="2" t="str">
        <x:v>Servicios Cordillera SpA</x:v>
      </x:c>
      <x:c r="D6" s="2" t="str">
        <x:v>96000555-4</x:v>
      </x:c>
      <x:c r="E6" s="2" t="str">
        <x:v>Alimentos Pacífico Ltda.</x:v>
      </x:c>
      <x:c r="F6" s="2" t="str">
        <x:v>factura</x:v>
      </x:c>
      <x:c r="G6" s="2" t="str">
        <x:v>11004</x:v>
      </x:c>
      <x:c r="H6" s="15" t="d">
        <x:v>2026-06-14T00:00:00.000Z</x:v>
      </x:c>
      <x:c r="I6" s="15" t="d">
        <x:v>2026-07-14T00:00:00.000Z</x:v>
      </x:c>
      <x:c r="J6" s="16" t="n">
        <x:v>1072000</x:v>
      </x:c>
      <x:c r="K6" s="2" t="str">
        <x:v>CLP</x:v>
      </x:c>
      <x:c r="L6" s="2" t="str">
        <x:v>Sí</x:v>
      </x:c>
      <x:c r="M6" s="2" t="str">
        <x:v>OC-18104</x:v>
      </x:c>
      <x:c r="N6" s="2" t="str">
        <x:v>No</x:v>
      </x:c>
      <x:c r="O6" s="2" t="str"/>
      <x:c r="P6" s="2" t="str">
        <x:v>No</x:v>
      </x:c>
      <x:c r="Q6" s="15"/>
      <x:c r="R6" s="2" t="str">
        <x:v>aceptada</x:v>
      </x:c>
      <x:c r="S6" s="2" t="str">
        <x:v>emitida</x:v>
      </x:c>
      <x:c r="T6" s="15"/>
      <x:c r="U6" s="2" t="str">
        <x:v>proceso_interno_pagador</x:v>
      </x:c>
      <x:c r="V6" s="17" t="n">
        <x:f>IF(T6&lt;&gt;"",MAX(0,T6-I6),MAX(0,DATE(2026,10,14)-I6))</x:f>
        <x:v>92</x:v>
      </x:c>
      <x:c r="W6" s="2" t="str">
        <x:f>IF(T6="","Pendiente",IF(T6&lt;=I6,"Sí","No"))</x:f>
        <x:v>Pendiente</x:v>
      </x:c>
      <x:c r="X6" s="2" t="str"/>
      <x:c r="Y6" s="2" t="str">
        <x:v>Factura aprobada y programada para el próximo ciclo</x:v>
      </x:c>
    </x:row>
    <x:row r="7">
      <x:c r="A7" s="2" t="str">
        <x:v>FAC-1-0006</x:v>
      </x:c>
      <x:c r="B7" s="2" t="str">
        <x:v>76123456-0</x:v>
      </x:c>
      <x:c r="C7" s="2" t="str">
        <x:v>Servicios Cordillera SpA</x:v>
      </x:c>
      <x:c r="D7" s="2" t="str">
        <x:v>96000111-7</x:v>
      </x:c>
      <x:c r="E7" s="2" t="str">
        <x:v>Minera Horizonte S.A.</x:v>
      </x:c>
      <x:c r="F7" s="2" t="str">
        <x:v>factura</x:v>
      </x:c>
      <x:c r="G7" s="2" t="str">
        <x:v>11005</x:v>
      </x:c>
      <x:c r="H7" s="15" t="d">
        <x:v>2026-06-17T00:00:00.000Z</x:v>
      </x:c>
      <x:c r="I7" s="15" t="d">
        <x:v>2026-08-01T00:00:00.000Z</x:v>
      </x:c>
      <x:c r="J7" s="16" t="n">
        <x:v>1245000</x:v>
      </x:c>
      <x:c r="K7" s="2" t="str">
        <x:v>CLP</x:v>
      </x:c>
      <x:c r="L7" s="2" t="str">
        <x:v>Sí</x:v>
      </x:c>
      <x:c r="M7" s="2" t="str">
        <x:v>OC-18105</x:v>
      </x:c>
      <x:c r="N7" s="2" t="str">
        <x:v>Sí</x:v>
      </x:c>
      <x:c r="O7" s="2" t="str">
        <x:v>HES-15205</x:v>
      </x:c>
      <x:c r="P7" s="2" t="str">
        <x:v>Sí</x:v>
      </x:c>
      <x:c r="Q7" s="15" t="d">
        <x:v>2026-06-19T00:00:00.000Z</x:v>
      </x:c>
      <x:c r="R7" s="2" t="str">
        <x:v>reclamada</x:v>
      </x:c>
      <x:c r="S7" s="2" t="str">
        <x:v>reclamada</x:v>
      </x:c>
      <x:c r="T7" s="15"/>
      <x:c r="U7" s="2" t="str">
        <x:v>documental_sii</x:v>
      </x:c>
      <x:c r="V7" s="17" t="n">
        <x:f>IF(T7&lt;&gt;"",MAX(0,T7-I7),MAX(0,DATE(2026,10,14)-I7))</x:f>
        <x:v>74</x:v>
      </x:c>
      <x:c r="W7" s="2" t="str">
        <x:f>IF(T7="","Pendiente",IF(T7&lt;=I7,"Sí","No"))</x:f>
        <x:v>Pendiente</x:v>
      </x:c>
      <x:c r="X7" s="2" t="str"/>
      <x:c r="Y7" s="2" t="str">
        <x:v>Reclamo por referencia contractual incompleta</x:v>
      </x:c>
    </x:row>
    <x:row r="8">
      <x:c r="A8" s="2" t="str">
        <x:v>FAC-1-0007</x:v>
      </x:c>
      <x:c r="B8" s="2" t="str">
        <x:v>76123456-0</x:v>
      </x:c>
      <x:c r="C8" s="2" t="str">
        <x:v>Servicios Cordillera SpA</x:v>
      </x:c>
      <x:c r="D8" s="2" t="str">
        <x:v>96000222-9</x:v>
      </x:c>
      <x:c r="E8" s="2" t="str">
        <x:v>Retail Pórtico S.A.</x:v>
      </x:c>
      <x:c r="F8" s="2" t="str">
        <x:v>factura</x:v>
      </x:c>
      <x:c r="G8" s="2" t="str">
        <x:v>11006</x:v>
      </x:c>
      <x:c r="H8" s="15" t="d">
        <x:v>2026-06-20T00:00:00.000Z</x:v>
      </x:c>
      <x:c r="I8" s="15" t="d">
        <x:v>2026-07-20T00:00:00.000Z</x:v>
      </x:c>
      <x:c r="J8" s="16" t="n">
        <x:v>1418000</x:v>
      </x:c>
      <x:c r="K8" s="2" t="str">
        <x:v>CLP</x:v>
      </x:c>
      <x:c r="L8" s="2" t="str">
        <x:v>Sí</x:v>
      </x:c>
      <x:c r="M8" s="2" t="str">
        <x:v>OC-18106</x:v>
      </x:c>
      <x:c r="N8" s="2" t="str">
        <x:v>No</x:v>
      </x:c>
      <x:c r="O8" s="2" t="str"/>
      <x:c r="P8" s="2" t="str">
        <x:v>Sí</x:v>
      </x:c>
      <x:c r="Q8" s="15" t="d">
        <x:v>2026-06-22T00:00:00.000Z</x:v>
      </x:c>
      <x:c r="R8" s="2" t="str">
        <x:v>aceptada</x:v>
      </x:c>
      <x:c r="S8" s="2" t="str">
        <x:v>disputa</x:v>
      </x:c>
      <x:c r="T8" s="15"/>
      <x:c r="U8" s="2" t="str">
        <x:v>disputa_comercial</x:v>
      </x:c>
      <x:c r="V8" s="17" t="n">
        <x:f>IF(T8&lt;&gt;"",MAX(0,T8-I8),MAX(0,DATE(2026,10,14)-I8))</x:f>
        <x:v>86</x:v>
      </x:c>
      <x:c r="W8" s="2" t="str">
        <x:f>IF(T8="","Pendiente",IF(T8&lt;=I8,"Sí","No"))</x:f>
        <x:v>Pendiente</x:v>
      </x:c>
      <x:c r="X8" s="2" t="str"/>
      <x:c r="Y8" s="2" t="str">
        <x:v>Diferencia sobre alcance del servicio; requiere intervención humana</x:v>
      </x:c>
    </x:row>
    <x:row r="9">
      <x:c r="A9" s="2" t="str">
        <x:v>FAC-1-0008</x:v>
      </x:c>
      <x:c r="B9" s="2" t="str">
        <x:v>76123456-0</x:v>
      </x:c>
      <x:c r="C9" s="2" t="str">
        <x:v>Servicios Cordillera SpA</x:v>
      </x:c>
      <x:c r="D9" s="2" t="str">
        <x:v>96000333-0</x:v>
      </x:c>
      <x:c r="E9" s="2" t="str">
        <x:v>Energía Austral SpA</x:v>
      </x:c>
      <x:c r="F9" s="2" t="str">
        <x:v>factura</x:v>
      </x:c>
      <x:c r="G9" s="2" t="str">
        <x:v>11007</x:v>
      </x:c>
      <x:c r="H9" s="15" t="d">
        <x:v>2026-06-23T00:00:00.000Z</x:v>
      </x:c>
      <x:c r="I9" s="15" t="d">
        <x:v>2026-08-07T00:00:00.000Z</x:v>
      </x:c>
      <x:c r="J9" s="16" t="n">
        <x:v>1591000</x:v>
      </x:c>
      <x:c r="K9" s="2" t="str">
        <x:v>CLP</x:v>
      </x:c>
      <x:c r="L9" s="2" t="str">
        <x:v>Sí</x:v>
      </x:c>
      <x:c r="M9" s="2" t="str">
        <x:v>OC-18107</x:v>
      </x:c>
      <x:c r="N9" s="2" t="str">
        <x:v>Sí</x:v>
      </x:c>
      <x:c r="O9" s="2" t="str">
        <x:v>HES-15207</x:v>
      </x:c>
      <x:c r="P9" s="2" t="str">
        <x:v>Sí</x:v>
      </x:c>
      <x:c r="Q9" s="15" t="d">
        <x:v>2026-06-25T00:00:00.000Z</x:v>
      </x:c>
      <x:c r="R9" s="2" t="str">
        <x:v>aceptada</x:v>
      </x:c>
      <x:c r="S9" s="2" t="str">
        <x:v>pagada</x:v>
      </x:c>
      <x:c r="T9" s="15" t="d">
        <x:v>2026-08-27T00:00:00.000Z</x:v>
      </x:c>
      <x:c r="U9" s="2" t="str">
        <x:v>liquidez_pagador</x:v>
      </x:c>
      <x:c r="V9" s="17" t="n">
        <x:f>IF(T9&lt;&gt;"",MAX(0,T9-I9),MAX(0,DATE(2026,10,14)-I9))</x:f>
        <x:v>20</x:v>
      </x:c>
      <x:c r="W9" s="2" t="str">
        <x:f>IF(T9="","Pendiente",IF(T9&lt;=I9,"Sí","No"))</x:f>
        <x:v>No</x:v>
      </x:c>
      <x:c r="X9" s="2" t="str">
        <x:v>evidencias/FAC-1-0008-comprobante.pdf</x:v>
      </x:c>
      <x:c r="Y9" s="2" t="str">
        <x:v>Pagador informó restricción temporal de caja</x:v>
      </x:c>
    </x:row>
    <x:row r="10">
      <x:c r="A10" s="2" t="str">
        <x:v>FAC-1-0009</x:v>
      </x:c>
      <x:c r="B10" s="2" t="str">
        <x:v>76123456-0</x:v>
      </x:c>
      <x:c r="C10" s="2" t="str">
        <x:v>Servicios Cordillera SpA</x:v>
      </x:c>
      <x:c r="D10" s="2" t="str">
        <x:v>96000444-2</x:v>
      </x:c>
      <x:c r="E10" s="2" t="str">
        <x:v>Constructora Valle Central S.A.</x:v>
      </x:c>
      <x:c r="F10" s="2" t="str">
        <x:v>factura</x:v>
      </x:c>
      <x:c r="G10" s="2" t="str">
        <x:v>11008</x:v>
      </x:c>
      <x:c r="H10" s="15" t="d">
        <x:v>2026-06-26T00:00:00.000Z</x:v>
      </x:c>
      <x:c r="I10" s="15" t="d">
        <x:v>2026-07-26T00:00:00.000Z</x:v>
      </x:c>
      <x:c r="J10" s="16" t="n">
        <x:v>1764000</x:v>
      </x:c>
      <x:c r="K10" s="2" t="str">
        <x:v>CLP</x:v>
      </x:c>
      <x:c r="L10" s="2" t="str">
        <x:v>Sí</x:v>
      </x:c>
      <x:c r="M10" s="2" t="str">
        <x:v>OC-18108</x:v>
      </x:c>
      <x:c r="N10" s="2" t="str">
        <x:v>Sí</x:v>
      </x:c>
      <x:c r="O10" s="2" t="str">
        <x:v>HES-15208</x:v>
      </x:c>
      <x:c r="P10" s="2" t="str">
        <x:v>No</x:v>
      </x:c>
      <x:c r="Q10" s="15"/>
      <x:c r="R10" s="2" t="str">
        <x:v>aceptada</x:v>
      </x:c>
      <x:c r="S10" s="2" t="str">
        <x:v>pagada</x:v>
      </x:c>
      <x:c r="T10" s="15" t="d">
        <x:v>2026-07-25T00:00:00.000Z</x:v>
      </x:c>
      <x:c r="U10" s="2" t="str"/>
      <x:c r="V10" s="17" t="n">
        <x:f>IF(T10&lt;&gt;"",MAX(0,T10-I10),MAX(0,DATE(2026,10,14)-I10))</x:f>
        <x:v>0</x:v>
      </x:c>
      <x:c r="W10" s="2" t="str">
        <x:f>IF(T10="","Pendiente",IF(T10&lt;=I10,"Sí","No"))</x:f>
        <x:v>Sí</x:v>
      </x:c>
      <x:c r="X10" s="2" t="str">
        <x:v>evidencias/FAC-1-0009-comprobante.pdf</x:v>
      </x:c>
      <x:c r="Y10" s="2" t="str">
        <x:v>Problema documental resuelto antes del vencimiento</x:v>
      </x:c>
    </x:row>
    <x:row r="11">
      <x:c r="A11" s="2" t="str">
        <x:v>FAC-1-0010</x:v>
      </x:c>
      <x:c r="B11" s="2" t="str">
        <x:v>76123456-0</x:v>
      </x:c>
      <x:c r="C11" s="2" t="str">
        <x:v>Servicios Cordillera SpA</x:v>
      </x:c>
      <x:c r="D11" s="2" t="str">
        <x:v>96000555-4</x:v>
      </x:c>
      <x:c r="E11" s="2" t="str">
        <x:v>Alimentos Pacífico Ltda.</x:v>
      </x:c>
      <x:c r="F11" s="2" t="str">
        <x:v>factura</x:v>
      </x:c>
      <x:c r="G11" s="2" t="str">
        <x:v>11009</x:v>
      </x:c>
      <x:c r="H11" s="15" t="d">
        <x:v>2026-06-29T00:00:00.000Z</x:v>
      </x:c>
      <x:c r="I11" s="15" t="d">
        <x:v>2026-07-29T00:00:00.000Z</x:v>
      </x:c>
      <x:c r="J11" s="16" t="n">
        <x:v>1937000</x:v>
      </x:c>
      <x:c r="K11" s="2" t="str">
        <x:v>CLP</x:v>
      </x:c>
      <x:c r="L11" s="2" t="str">
        <x:v>Sí</x:v>
      </x:c>
      <x:c r="M11" s="2" t="str">
        <x:v>OC-18109</x:v>
      </x:c>
      <x:c r="N11" s="2" t="str">
        <x:v>No</x:v>
      </x:c>
      <x:c r="O11" s="2" t="str"/>
      <x:c r="P11" s="2" t="str">
        <x:v>No</x:v>
      </x:c>
      <x:c r="Q11" s="15"/>
      <x:c r="R11" s="2" t="str">
        <x:v>aceptada</x:v>
      </x:c>
      <x:c r="S11" s="2" t="str">
        <x:v>emitida</x:v>
      </x:c>
      <x:c r="T11" s="15"/>
      <x:c r="U11" s="2" t="str">
        <x:v>proceso_interno_pagador</x:v>
      </x:c>
      <x:c r="V11" s="17" t="n">
        <x:f>IF(T11&lt;&gt;"",MAX(0,T11-I11),MAX(0,DATE(2026,10,14)-I11))</x:f>
        <x:v>77</x:v>
      </x:c>
      <x:c r="W11" s="2" t="str">
        <x:f>IF(T11="","Pendiente",IF(T11&lt;=I11,"Sí","No"))</x:f>
        <x:v>Pendiente</x:v>
      </x:c>
      <x:c r="X11" s="2" t="str"/>
      <x:c r="Y11" s="2" t="str">
        <x:v>Factura aún dentro de plazo</x:v>
      </x:c>
    </x:row>
    <x:row r="12">
      <x:c r="A12" s="2" t="str">
        <x:v>FAC-1-0011</x:v>
      </x:c>
      <x:c r="B12" s="2" t="str">
        <x:v>76123456-0</x:v>
      </x:c>
      <x:c r="C12" s="2" t="str">
        <x:v>Servicios Cordillera SpA</x:v>
      </x:c>
      <x:c r="D12" s="2" t="str">
        <x:v>96000111-7</x:v>
      </x:c>
      <x:c r="E12" s="2" t="str">
        <x:v>Minera Horizonte S.A.</x:v>
      </x:c>
      <x:c r="F12" s="2" t="str">
        <x:v>factura</x:v>
      </x:c>
      <x:c r="G12" s="2" t="str">
        <x:v>11010</x:v>
      </x:c>
      <x:c r="H12" s="15" t="d">
        <x:v>2026-07-02T00:00:00.000Z</x:v>
      </x:c>
      <x:c r="I12" s="15" t="d">
        <x:v>2026-08-16T00:00:00.000Z</x:v>
      </x:c>
      <x:c r="J12" s="16" t="n">
        <x:v>2110000</x:v>
      </x:c>
      <x:c r="K12" s="2" t="str">
        <x:v>CLP</x:v>
      </x:c>
      <x:c r="L12" s="2" t="str">
        <x:v>Sí</x:v>
      </x:c>
      <x:c r="M12" s="2" t="str">
        <x:v>OC-18110</x:v>
      </x:c>
      <x:c r="N12" s="2" t="str">
        <x:v>Sí</x:v>
      </x:c>
      <x:c r="O12" s="2" t="str">
        <x:v>HES-15210</x:v>
      </x:c>
      <x:c r="P12" s="2" t="str">
        <x:v>Sí</x:v>
      </x:c>
      <x:c r="Q12" s="15" t="d">
        <x:v>2026-07-04T00:00:00.000Z</x:v>
      </x:c>
      <x:c r="R12" s="2" t="str">
        <x:v>aceptada</x:v>
      </x:c>
      <x:c r="S12" s="2" t="str">
        <x:v>pagada</x:v>
      </x:c>
      <x:c r="T12" s="15" t="d">
        <x:v>2026-08-12T00:00:00.000Z</x:v>
      </x:c>
      <x:c r="U12" s="2" t="str"/>
      <x:c r="V12" s="17" t="n">
        <x:f>IF(T12&lt;&gt;"",MAX(0,T12-I12),MAX(0,DATE(2026,10,14)-I12))</x:f>
        <x:v>0</x:v>
      </x:c>
      <x:c r="W12" s="2" t="str">
        <x:f>IF(T12="","Pendiente",IF(T12&lt;=I12,"Sí","No"))</x:f>
        <x:v>Sí</x:v>
      </x:c>
      <x:c r="X12" s="2" t="str">
        <x:v>evidencias/FAC-1-0011-comprobante.pdf</x:v>
      </x:c>
      <x:c r="Y12" s="2" t="str">
        <x:v>Pago normal</x:v>
      </x:c>
    </x:row>
    <x:row r="13">
      <x:c r="A13" s="2" t="str">
        <x:v>FAC-1-0012</x:v>
      </x:c>
      <x:c r="B13" s="2" t="str">
        <x:v>76123456-0</x:v>
      </x:c>
      <x:c r="C13" s="2" t="str">
        <x:v>Servicios Cordillera SpA</x:v>
      </x:c>
      <x:c r="D13" s="2" t="str">
        <x:v>96000222-9</x:v>
      </x:c>
      <x:c r="E13" s="2" t="str">
        <x:v>Retail Pórtico S.A.</x:v>
      </x:c>
      <x:c r="F13" s="2" t="str">
        <x:v>factura</x:v>
      </x:c>
      <x:c r="G13" s="2" t="str">
        <x:v>11011</x:v>
      </x:c>
      <x:c r="H13" s="15" t="d">
        <x:v>2026-07-05T00:00:00.000Z</x:v>
      </x:c>
      <x:c r="I13" s="15" t="d">
        <x:v>2026-08-04T00:00:00.000Z</x:v>
      </x:c>
      <x:c r="J13" s="16" t="n">
        <x:v>2283000</x:v>
      </x:c>
      <x:c r="K13" s="2" t="str">
        <x:v>CLP</x:v>
      </x:c>
      <x:c r="L13" s="2" t="str">
        <x:v>Sí</x:v>
      </x:c>
      <x:c r="M13" s="2" t="str">
        <x:v>OC-18111</x:v>
      </x:c>
      <x:c r="N13" s="2" t="str">
        <x:v>No</x:v>
      </x:c>
      <x:c r="O13" s="2" t="str"/>
      <x:c r="P13" s="2" t="str">
        <x:v>Sí</x:v>
      </x:c>
      <x:c r="Q13" s="15" t="d">
        <x:v>2026-07-07T00:00:00.000Z</x:v>
      </x:c>
      <x:c r="R13" s="2" t="str">
        <x:v>aceptada</x:v>
      </x:c>
      <x:c r="S13" s="2" t="str">
        <x:v>pagada</x:v>
      </x:c>
      <x:c r="T13" s="15" t="d">
        <x:v>2026-08-16T00:00:00.000Z</x:v>
      </x:c>
      <x:c r="U13" s="2" t="str">
        <x:v>documental_hes_conformidad</x:v>
      </x:c>
      <x:c r="V13" s="17" t="n">
        <x:f>IF(T13&lt;&gt;"",MAX(0,T13-I13),MAX(0,DATE(2026,10,14)-I13))</x:f>
        <x:v>12</x:v>
      </x:c>
      <x:c r="W13" s="2" t="str">
        <x:f>IF(T13="","Pendiente",IF(T13&lt;=I13,"Sí","No"))</x:f>
        <x:v>No</x:v>
      </x:c>
      <x:c r="X13" s="2" t="str">
        <x:v>evidencias/FAC-1-0012-comprobante.pdf</x:v>
      </x:c>
      <x:c r="Y13" s="2" t="str">
        <x:v>HES emitida después del vencimiento</x:v>
      </x:c>
    </x:row>
    <x:row r="14">
      <x:c r="A14" s="2" t="str">
        <x:v>FAC-1-0013</x:v>
      </x:c>
      <x:c r="B14" s="2" t="str">
        <x:v>76123456-0</x:v>
      </x:c>
      <x:c r="C14" s="2" t="str">
        <x:v>Servicios Cordillera SpA</x:v>
      </x:c>
      <x:c r="D14" s="2" t="str">
        <x:v>96000333-0</x:v>
      </x:c>
      <x:c r="E14" s="2" t="str">
        <x:v>Energía Austral SpA</x:v>
      </x:c>
      <x:c r="F14" s="2" t="str">
        <x:v>factura</x:v>
      </x:c>
      <x:c r="G14" s="2" t="str">
        <x:v>11012</x:v>
      </x:c>
      <x:c r="H14" s="15" t="d">
        <x:v>2026-07-08T00:00:00.000Z</x:v>
      </x:c>
      <x:c r="I14" s="15" t="d">
        <x:v>2026-08-22T00:00:00.000Z</x:v>
      </x:c>
      <x:c r="J14" s="16" t="n">
        <x:v>2456000</x:v>
      </x:c>
      <x:c r="K14" s="2" t="str">
        <x:v>CLP</x:v>
      </x:c>
      <x:c r="L14" s="2" t="str">
        <x:v>Sí</x:v>
      </x:c>
      <x:c r="M14" s="2" t="str">
        <x:v>OC-18112</x:v>
      </x:c>
      <x:c r="N14" s="2" t="str">
        <x:v>Sí</x:v>
      </x:c>
      <x:c r="O14" s="2" t="str">
        <x:v>HES-15212</x:v>
      </x:c>
      <x:c r="P14" s="2" t="str">
        <x:v>Sí</x:v>
      </x:c>
      <x:c r="Q14" s="15" t="d">
        <x:v>2026-08-28T00:00:00.000Z</x:v>
      </x:c>
      <x:c r="R14" s="2" t="str">
        <x:v>aceptada</x:v>
      </x:c>
      <x:c r="S14" s="2" t="str">
        <x:v>pagada</x:v>
      </x:c>
      <x:c r="T14" s="15" t="d">
        <x:v>2026-08-30T00:00:00.000Z</x:v>
      </x:c>
      <x:c r="U14" s="2" t="str">
        <x:v>documental_portal</x:v>
      </x:c>
      <x:c r="V14" s="17" t="n">
        <x:f>IF(T14&lt;&gt;"",MAX(0,T14-I14),MAX(0,DATE(2026,10,14)-I14))</x:f>
        <x:v>8</x:v>
      </x:c>
      <x:c r="W14" s="2" t="str">
        <x:f>IF(T14="","Pendiente",IF(T14&lt;=I14,"Sí","No"))</x:f>
        <x:v>No</x:v>
      </x:c>
      <x:c r="X14" s="2" t="str">
        <x:v>evidencias/FAC-1-0013-comprobante.pdf</x:v>
      </x:c>
      <x:c r="Y14" s="2" t="str">
        <x:v>Carga en portal completada tarde</x:v>
      </x:c>
    </x:row>
    <x:row r="15">
      <x:c r="A15" s="2" t="str">
        <x:v>FAC-1-0014</x:v>
      </x:c>
      <x:c r="B15" s="2" t="str">
        <x:v>76123456-0</x:v>
      </x:c>
      <x:c r="C15" s="2" t="str">
        <x:v>Servicios Cordillera SpA</x:v>
      </x:c>
      <x:c r="D15" s="2" t="str">
        <x:v>96000444-2</x:v>
      </x:c>
      <x:c r="E15" s="2" t="str">
        <x:v>Constructora Valle Central S.A.</x:v>
      </x:c>
      <x:c r="F15" s="2" t="str">
        <x:v>factura</x:v>
      </x:c>
      <x:c r="G15" s="2" t="str">
        <x:v>11013</x:v>
      </x:c>
      <x:c r="H15" s="15" t="d">
        <x:v>2026-07-11T00:00:00.000Z</x:v>
      </x:c>
      <x:c r="I15" s="15" t="d">
        <x:v>2026-08-10T00:00:00.000Z</x:v>
      </x:c>
      <x:c r="J15" s="16" t="n">
        <x:v>2629000</x:v>
      </x:c>
      <x:c r="K15" s="2" t="str">
        <x:v>CLP</x:v>
      </x:c>
      <x:c r="L15" s="2" t="str">
        <x:v>Sí</x:v>
      </x:c>
      <x:c r="M15" s="2" t="str"/>
      <x:c r="N15" s="2" t="str">
        <x:v>Sí</x:v>
      </x:c>
      <x:c r="O15" s="2" t="str">
        <x:v>HES-15213</x:v>
      </x:c>
      <x:c r="P15" s="2" t="str">
        <x:v>No</x:v>
      </x:c>
      <x:c r="Q15" s="15"/>
      <x:c r="R15" s="2" t="str">
        <x:v>aceptada</x:v>
      </x:c>
      <x:c r="S15" s="2" t="str">
        <x:v>emitida</x:v>
      </x:c>
      <x:c r="T15" s="15"/>
      <x:c r="U15" s="2" t="str">
        <x:v>documental_oc</x:v>
      </x:c>
      <x:c r="V15" s="17" t="n">
        <x:f>IF(T15&lt;&gt;"",MAX(0,T15-I15),MAX(0,DATE(2026,10,14)-I15))</x:f>
        <x:v>65</x:v>
      </x:c>
      <x:c r="W15" s="2" t="str">
        <x:f>IF(T15="","Pendiente",IF(T15&lt;=I15,"Sí","No"))</x:f>
        <x:v>Pendiente</x:v>
      </x:c>
      <x:c r="X15" s="2" t="str"/>
      <x:c r="Y15" s="2" t="str">
        <x:v>OC pendiente del solicitante</x:v>
      </x:c>
    </x:row>
    <x:row r="16">
      <x:c r="A16" s="2" t="str">
        <x:v>FAC-1-0015</x:v>
      </x:c>
      <x:c r="B16" s="2" t="str">
        <x:v>76123456-0</x:v>
      </x:c>
      <x:c r="C16" s="2" t="str">
        <x:v>Servicios Cordillera SpA</x:v>
      </x:c>
      <x:c r="D16" s="2" t="str">
        <x:v>96000555-4</x:v>
      </x:c>
      <x:c r="E16" s="2" t="str">
        <x:v>Alimentos Pacífico Ltda.</x:v>
      </x:c>
      <x:c r="F16" s="2" t="str">
        <x:v>factura</x:v>
      </x:c>
      <x:c r="G16" s="2" t="str">
        <x:v>11014</x:v>
      </x:c>
      <x:c r="H16" s="15" t="d">
        <x:v>2026-07-14T00:00:00.000Z</x:v>
      </x:c>
      <x:c r="I16" s="15" t="d">
        <x:v>2026-08-13T00:00:00.000Z</x:v>
      </x:c>
      <x:c r="J16" s="16" t="n">
        <x:v>2802000</x:v>
      </x:c>
      <x:c r="K16" s="2" t="str">
        <x:v>CLP</x:v>
      </x:c>
      <x:c r="L16" s="2" t="str">
        <x:v>Sí</x:v>
      </x:c>
      <x:c r="M16" s="2" t="str">
        <x:v>OC-18114</x:v>
      </x:c>
      <x:c r="N16" s="2" t="str">
        <x:v>No</x:v>
      </x:c>
      <x:c r="O16" s="2" t="str"/>
      <x:c r="P16" s="2" t="str">
        <x:v>No</x:v>
      </x:c>
      <x:c r="Q16" s="15"/>
      <x:c r="R16" s="2" t="str">
        <x:v>aceptada</x:v>
      </x:c>
      <x:c r="S16" s="2" t="str">
        <x:v>emitida</x:v>
      </x:c>
      <x:c r="T16" s="15"/>
      <x:c r="U16" s="2" t="str">
        <x:v>proceso_interno_pagador</x:v>
      </x:c>
      <x:c r="V16" s="17" t="n">
        <x:f>IF(T16&lt;&gt;"",MAX(0,T16-I16),MAX(0,DATE(2026,10,14)-I16))</x:f>
        <x:v>62</x:v>
      </x:c>
      <x:c r="W16" s="2" t="str">
        <x:f>IF(T16="","Pendiente",IF(T16&lt;=I16,"Sí","No"))</x:f>
        <x:v>Pendiente</x:v>
      </x:c>
      <x:c r="X16" s="2" t="str"/>
      <x:c r="Y16" s="2" t="str">
        <x:v>Factura aprobada y programada para el próximo ciclo</x:v>
      </x:c>
    </x:row>
    <x:row r="17">
      <x:c r="A17" s="2" t="str">
        <x:v>FAC-1-0016</x:v>
      </x:c>
      <x:c r="B17" s="2" t="str">
        <x:v>76123456-0</x:v>
      </x:c>
      <x:c r="C17" s="2" t="str">
        <x:v>Servicios Cordillera SpA</x:v>
      </x:c>
      <x:c r="D17" s="2" t="str">
        <x:v>96000111-7</x:v>
      </x:c>
      <x:c r="E17" s="2" t="str">
        <x:v>Minera Horizonte S.A.</x:v>
      </x:c>
      <x:c r="F17" s="2" t="str">
        <x:v>factura</x:v>
      </x:c>
      <x:c r="G17" s="2" t="str">
        <x:v>11015</x:v>
      </x:c>
      <x:c r="H17" s="15" t="d">
        <x:v>2026-07-17T00:00:00.000Z</x:v>
      </x:c>
      <x:c r="I17" s="15" t="d">
        <x:v>2026-08-31T00:00:00.000Z</x:v>
      </x:c>
      <x:c r="J17" s="16" t="n">
        <x:v>2975000</x:v>
      </x:c>
      <x:c r="K17" s="2" t="str">
        <x:v>CLP</x:v>
      </x:c>
      <x:c r="L17" s="2" t="str">
        <x:v>Sí</x:v>
      </x:c>
      <x:c r="M17" s="2" t="str">
        <x:v>OC-18115</x:v>
      </x:c>
      <x:c r="N17" s="2" t="str">
        <x:v>Sí</x:v>
      </x:c>
      <x:c r="O17" s="2" t="str">
        <x:v>HES-15215</x:v>
      </x:c>
      <x:c r="P17" s="2" t="str">
        <x:v>Sí</x:v>
      </x:c>
      <x:c r="Q17" s="15" t="d">
        <x:v>2026-07-19T00:00:00.000Z</x:v>
      </x:c>
      <x:c r="R17" s="2" t="str">
        <x:v>reclamada</x:v>
      </x:c>
      <x:c r="S17" s="2" t="str">
        <x:v>reclamada</x:v>
      </x:c>
      <x:c r="T17" s="15"/>
      <x:c r="U17" s="2" t="str">
        <x:v>documental_sii</x:v>
      </x:c>
      <x:c r="V17" s="17" t="n">
        <x:f>IF(T17&lt;&gt;"",MAX(0,T17-I17),MAX(0,DATE(2026,10,14)-I17))</x:f>
        <x:v>44</x:v>
      </x:c>
      <x:c r="W17" s="2" t="str">
        <x:f>IF(T17="","Pendiente",IF(T17&lt;=I17,"Sí","No"))</x:f>
        <x:v>Pendiente</x:v>
      </x:c>
      <x:c r="X17" s="2" t="str"/>
      <x:c r="Y17" s="2" t="str">
        <x:v>Reclamo por referencia contractual incompleta</x:v>
      </x:c>
    </x:row>
    <x:row r="18">
      <x:c r="A18" s="2" t="str">
        <x:v>FAC-1-0017</x:v>
      </x:c>
      <x:c r="B18" s="2" t="str">
        <x:v>76123456-0</x:v>
      </x:c>
      <x:c r="C18" s="2" t="str">
        <x:v>Servicios Cordillera SpA</x:v>
      </x:c>
      <x:c r="D18" s="2" t="str">
        <x:v>96000222-9</x:v>
      </x:c>
      <x:c r="E18" s="2" t="str">
        <x:v>Retail Pórtico S.A.</x:v>
      </x:c>
      <x:c r="F18" s="2" t="str">
        <x:v>factura</x:v>
      </x:c>
      <x:c r="G18" s="2" t="str">
        <x:v>11016</x:v>
      </x:c>
      <x:c r="H18" s="15" t="d">
        <x:v>2026-07-20T00:00:00.000Z</x:v>
      </x:c>
      <x:c r="I18" s="15" t="d">
        <x:v>2026-08-19T00:00:00.000Z</x:v>
      </x:c>
      <x:c r="J18" s="16" t="n">
        <x:v>3148000</x:v>
      </x:c>
      <x:c r="K18" s="2" t="str">
        <x:v>CLP</x:v>
      </x:c>
      <x:c r="L18" s="2" t="str">
        <x:v>Sí</x:v>
      </x:c>
      <x:c r="M18" s="2" t="str">
        <x:v>OC-18116</x:v>
      </x:c>
      <x:c r="N18" s="2" t="str">
        <x:v>No</x:v>
      </x:c>
      <x:c r="O18" s="2" t="str"/>
      <x:c r="P18" s="2" t="str">
        <x:v>Sí</x:v>
      </x:c>
      <x:c r="Q18" s="15" t="d">
        <x:v>2026-07-22T00:00:00.000Z</x:v>
      </x:c>
      <x:c r="R18" s="2" t="str">
        <x:v>aceptada</x:v>
      </x:c>
      <x:c r="S18" s="2" t="str">
        <x:v>disputa</x:v>
      </x:c>
      <x:c r="T18" s="15"/>
      <x:c r="U18" s="2" t="str">
        <x:v>disputa_comercial</x:v>
      </x:c>
      <x:c r="V18" s="17" t="n">
        <x:f>IF(T18&lt;&gt;"",MAX(0,T18-I18),MAX(0,DATE(2026,10,14)-I18))</x:f>
        <x:v>56</x:v>
      </x:c>
      <x:c r="W18" s="2" t="str">
        <x:f>IF(T18="","Pendiente",IF(T18&lt;=I18,"Sí","No"))</x:f>
        <x:v>Pendiente</x:v>
      </x:c>
      <x:c r="X18" s="2" t="str"/>
      <x:c r="Y18" s="2" t="str">
        <x:v>Diferencia sobre alcance del servicio; requiere intervención humana</x:v>
      </x:c>
    </x:row>
    <x:row r="19">
      <x:c r="A19" s="2" t="str">
        <x:v>FAC-1-0018</x:v>
      </x:c>
      <x:c r="B19" s="2" t="str">
        <x:v>76123456-0</x:v>
      </x:c>
      <x:c r="C19" s="2" t="str">
        <x:v>Servicios Cordillera SpA</x:v>
      </x:c>
      <x:c r="D19" s="2" t="str">
        <x:v>96000333-0</x:v>
      </x:c>
      <x:c r="E19" s="2" t="str">
        <x:v>Energía Austral SpA</x:v>
      </x:c>
      <x:c r="F19" s="2" t="str">
        <x:v>factura</x:v>
      </x:c>
      <x:c r="G19" s="2" t="str">
        <x:v>11017</x:v>
      </x:c>
      <x:c r="H19" s="15" t="d">
        <x:v>2026-07-23T00:00:00.000Z</x:v>
      </x:c>
      <x:c r="I19" s="15" t="d">
        <x:v>2026-09-06T00:00:00.000Z</x:v>
      </x:c>
      <x:c r="J19" s="16" t="n">
        <x:v>3321000</x:v>
      </x:c>
      <x:c r="K19" s="2" t="str">
        <x:v>CLP</x:v>
      </x:c>
      <x:c r="L19" s="2" t="str">
        <x:v>Sí</x:v>
      </x:c>
      <x:c r="M19" s="2" t="str">
        <x:v>OC-18117</x:v>
      </x:c>
      <x:c r="N19" s="2" t="str">
        <x:v>Sí</x:v>
      </x:c>
      <x:c r="O19" s="2" t="str">
        <x:v>HES-15217</x:v>
      </x:c>
      <x:c r="P19" s="2" t="str">
        <x:v>Sí</x:v>
      </x:c>
      <x:c r="Q19" s="15" t="d">
        <x:v>2026-07-25T00:00:00.000Z</x:v>
      </x:c>
      <x:c r="R19" s="2" t="str">
        <x:v>aceptada</x:v>
      </x:c>
      <x:c r="S19" s="2" t="str">
        <x:v>pagada</x:v>
      </x:c>
      <x:c r="T19" s="15" t="d">
        <x:v>2026-09-26T00:00:00.000Z</x:v>
      </x:c>
      <x:c r="U19" s="2" t="str">
        <x:v>liquidez_pagador</x:v>
      </x:c>
      <x:c r="V19" s="17" t="n">
        <x:f>IF(T19&lt;&gt;"",MAX(0,T19-I19),MAX(0,DATE(2026,10,14)-I19))</x:f>
        <x:v>20</x:v>
      </x:c>
      <x:c r="W19" s="2" t="str">
        <x:f>IF(T19="","Pendiente",IF(T19&lt;=I19,"Sí","No"))</x:f>
        <x:v>No</x:v>
      </x:c>
      <x:c r="X19" s="2" t="str">
        <x:v>evidencias/FAC-1-0018-comprobante.pdf</x:v>
      </x:c>
      <x:c r="Y19" s="2" t="str">
        <x:v>Pagador informó restricción temporal de caja</x:v>
      </x:c>
    </x:row>
    <x:row r="20">
      <x:c r="A20" s="2" t="str">
        <x:v>FAC-1-0019</x:v>
      </x:c>
      <x:c r="B20" s="2" t="str">
        <x:v>76123456-0</x:v>
      </x:c>
      <x:c r="C20" s="2" t="str">
        <x:v>Servicios Cordillera SpA</x:v>
      </x:c>
      <x:c r="D20" s="2" t="str">
        <x:v>96000444-2</x:v>
      </x:c>
      <x:c r="E20" s="2" t="str">
        <x:v>Constructora Valle Central S.A.</x:v>
      </x:c>
      <x:c r="F20" s="2" t="str">
        <x:v>factura</x:v>
      </x:c>
      <x:c r="G20" s="2" t="str">
        <x:v>11018</x:v>
      </x:c>
      <x:c r="H20" s="15" t="d">
        <x:v>2026-07-26T00:00:00.000Z</x:v>
      </x:c>
      <x:c r="I20" s="15" t="d">
        <x:v>2026-08-25T00:00:00.000Z</x:v>
      </x:c>
      <x:c r="J20" s="16" t="n">
        <x:v>3494000</x:v>
      </x:c>
      <x:c r="K20" s="2" t="str">
        <x:v>CLP</x:v>
      </x:c>
      <x:c r="L20" s="2" t="str">
        <x:v>Sí</x:v>
      </x:c>
      <x:c r="M20" s="2" t="str">
        <x:v>OC-18118</x:v>
      </x:c>
      <x:c r="N20" s="2" t="str">
        <x:v>Sí</x:v>
      </x:c>
      <x:c r="O20" s="2" t="str">
        <x:v>HES-15218</x:v>
      </x:c>
      <x:c r="P20" s="2" t="str">
        <x:v>No</x:v>
      </x:c>
      <x:c r="Q20" s="15"/>
      <x:c r="R20" s="2" t="str">
        <x:v>aceptada</x:v>
      </x:c>
      <x:c r="S20" s="2" t="str">
        <x:v>pagada</x:v>
      </x:c>
      <x:c r="T20" s="15" t="d">
        <x:v>2026-08-24T00:00:00.000Z</x:v>
      </x:c>
      <x:c r="U20" s="2" t="str"/>
      <x:c r="V20" s="17" t="n">
        <x:f>IF(T20&lt;&gt;"",MAX(0,T20-I20),MAX(0,DATE(2026,10,14)-I20))</x:f>
        <x:v>0</x:v>
      </x:c>
      <x:c r="W20" s="2" t="str">
        <x:f>IF(T20="","Pendiente",IF(T20&lt;=I20,"Sí","No"))</x:f>
        <x:v>Sí</x:v>
      </x:c>
      <x:c r="X20" s="2" t="str">
        <x:v>evidencias/FAC-1-0019-comprobante.pdf</x:v>
      </x:c>
      <x:c r="Y20" s="2" t="str">
        <x:v>Problema documental resuelto antes del vencimiento</x:v>
      </x:c>
    </x:row>
    <x:row r="21">
      <x:c r="A21" s="2" t="str">
        <x:v>FAC-1-0020</x:v>
      </x:c>
      <x:c r="B21" s="2" t="str">
        <x:v>76123456-0</x:v>
      </x:c>
      <x:c r="C21" s="2" t="str">
        <x:v>Servicios Cordillera SpA</x:v>
      </x:c>
      <x:c r="D21" s="2" t="str">
        <x:v>96000555-4</x:v>
      </x:c>
      <x:c r="E21" s="2" t="str">
        <x:v>Alimentos Pacífico Ltda.</x:v>
      </x:c>
      <x:c r="F21" s="2" t="str">
        <x:v>factura</x:v>
      </x:c>
      <x:c r="G21" s="2" t="str">
        <x:v>11019</x:v>
      </x:c>
      <x:c r="H21" s="15" t="d">
        <x:v>2026-07-29T00:00:00.000Z</x:v>
      </x:c>
      <x:c r="I21" s="15" t="d">
        <x:v>2026-08-28T00:00:00.000Z</x:v>
      </x:c>
      <x:c r="J21" s="16" t="n">
        <x:v>3667000</x:v>
      </x:c>
      <x:c r="K21" s="2" t="str">
        <x:v>CLP</x:v>
      </x:c>
      <x:c r="L21" s="2" t="str">
        <x:v>Sí</x:v>
      </x:c>
      <x:c r="M21" s="2" t="str">
        <x:v>OC-18119</x:v>
      </x:c>
      <x:c r="N21" s="2" t="str">
        <x:v>No</x:v>
      </x:c>
      <x:c r="O21" s="2" t="str"/>
      <x:c r="P21" s="2" t="str">
        <x:v>No</x:v>
      </x:c>
      <x:c r="Q21" s="15"/>
      <x:c r="R21" s="2" t="str">
        <x:v>aceptada</x:v>
      </x:c>
      <x:c r="S21" s="2" t="str">
        <x:v>emitida</x:v>
      </x:c>
      <x:c r="T21" s="15"/>
      <x:c r="U21" s="2" t="str">
        <x:v>proceso_interno_pagador</x:v>
      </x:c>
      <x:c r="V21" s="17" t="n">
        <x:f>IF(T21&lt;&gt;"",MAX(0,T21-I21),MAX(0,DATE(2026,10,14)-I21))</x:f>
        <x:v>47</x:v>
      </x:c>
      <x:c r="W21" s="2" t="str">
        <x:f>IF(T21="","Pendiente",IF(T21&lt;=I21,"Sí","No"))</x:f>
        <x:v>Pendiente</x:v>
      </x:c>
      <x:c r="X21" s="2" t="str"/>
      <x:c r="Y21" s="2" t="str">
        <x:v>Factura aún dentro de plazo</x:v>
      </x:c>
    </x:row>
    <x:row r="22">
      <x:c r="A22" s="2" t="str">
        <x:v>FAC-1-0021</x:v>
      </x:c>
      <x:c r="B22" s="2" t="str">
        <x:v>76123456-0</x:v>
      </x:c>
      <x:c r="C22" s="2" t="str">
        <x:v>Servicios Cordillera SpA</x:v>
      </x:c>
      <x:c r="D22" s="2" t="str">
        <x:v>96000111-7</x:v>
      </x:c>
      <x:c r="E22" s="2" t="str">
        <x:v>Minera Horizonte S.A.</x:v>
      </x:c>
      <x:c r="F22" s="2" t="str">
        <x:v>factura</x:v>
      </x:c>
      <x:c r="G22" s="2" t="str">
        <x:v>11020</x:v>
      </x:c>
      <x:c r="H22" s="15" t="d">
        <x:v>2026-08-01T00:00:00.000Z</x:v>
      </x:c>
      <x:c r="I22" s="15" t="d">
        <x:v>2026-09-15T00:00:00.000Z</x:v>
      </x:c>
      <x:c r="J22" s="16" t="n">
        <x:v>3840000</x:v>
      </x:c>
      <x:c r="K22" s="2" t="str">
        <x:v>CLP</x:v>
      </x:c>
      <x:c r="L22" s="2" t="str">
        <x:v>Sí</x:v>
      </x:c>
      <x:c r="M22" s="2" t="str">
        <x:v>OC-18120</x:v>
      </x:c>
      <x:c r="N22" s="2" t="str">
        <x:v>Sí</x:v>
      </x:c>
      <x:c r="O22" s="2" t="str">
        <x:v>HES-15220</x:v>
      </x:c>
      <x:c r="P22" s="2" t="str">
        <x:v>Sí</x:v>
      </x:c>
      <x:c r="Q22" s="15" t="d">
        <x:v>2026-08-03T00:00:00.000Z</x:v>
      </x:c>
      <x:c r="R22" s="2" t="str">
        <x:v>aceptada</x:v>
      </x:c>
      <x:c r="S22" s="2" t="str">
        <x:v>pagada</x:v>
      </x:c>
      <x:c r="T22" s="15" t="d">
        <x:v>2026-09-11T00:00:00.000Z</x:v>
      </x:c>
      <x:c r="U22" s="2" t="str"/>
      <x:c r="V22" s="17" t="n">
        <x:f>IF(T22&lt;&gt;"",MAX(0,T22-I22),MAX(0,DATE(2026,10,14)-I22))</x:f>
        <x:v>0</x:v>
      </x:c>
      <x:c r="W22" s="2" t="str">
        <x:f>IF(T22="","Pendiente",IF(T22&lt;=I22,"Sí","No"))</x:f>
        <x:v>Sí</x:v>
      </x:c>
      <x:c r="X22" s="2" t="str">
        <x:v>evidencias/FAC-1-0021-comprobante.pdf</x:v>
      </x:c>
      <x:c r="Y22" s="2" t="str">
        <x:v>Pago normal</x:v>
      </x:c>
    </x:row>
    <x:row r="23">
      <x:c r="A23" s="2" t="str">
        <x:v>FAC-1-0022</x:v>
      </x:c>
      <x:c r="B23" s="2" t="str">
        <x:v>76123456-0</x:v>
      </x:c>
      <x:c r="C23" s="2" t="str">
        <x:v>Servicios Cordillera SpA</x:v>
      </x:c>
      <x:c r="D23" s="2" t="str">
        <x:v>96000222-9</x:v>
      </x:c>
      <x:c r="E23" s="2" t="str">
        <x:v>Retail Pórtico S.A.</x:v>
      </x:c>
      <x:c r="F23" s="2" t="str">
        <x:v>factura</x:v>
      </x:c>
      <x:c r="G23" s="2" t="str">
        <x:v>11021</x:v>
      </x:c>
      <x:c r="H23" s="15" t="d">
        <x:v>2026-08-04T00:00:00.000Z</x:v>
      </x:c>
      <x:c r="I23" s="15" t="d">
        <x:v>2026-09-03T00:00:00.000Z</x:v>
      </x:c>
      <x:c r="J23" s="16" t="n">
        <x:v>4013000</x:v>
      </x:c>
      <x:c r="K23" s="2" t="str">
        <x:v>CLP</x:v>
      </x:c>
      <x:c r="L23" s="2" t="str">
        <x:v>Sí</x:v>
      </x:c>
      <x:c r="M23" s="2" t="str">
        <x:v>OC-18121</x:v>
      </x:c>
      <x:c r="N23" s="2" t="str">
        <x:v>No</x:v>
      </x:c>
      <x:c r="O23" s="2" t="str"/>
      <x:c r="P23" s="2" t="str">
        <x:v>Sí</x:v>
      </x:c>
      <x:c r="Q23" s="15" t="d">
        <x:v>2026-08-06T00:00:00.000Z</x:v>
      </x:c>
      <x:c r="R23" s="2" t="str">
        <x:v>aceptada</x:v>
      </x:c>
      <x:c r="S23" s="2" t="str">
        <x:v>pagada</x:v>
      </x:c>
      <x:c r="T23" s="15" t="d">
        <x:v>2026-09-15T00:00:00.000Z</x:v>
      </x:c>
      <x:c r="U23" s="2" t="str">
        <x:v>documental_hes_conformidad</x:v>
      </x:c>
      <x:c r="V23" s="17" t="n">
        <x:f>IF(T23&lt;&gt;"",MAX(0,T23-I23),MAX(0,DATE(2026,10,14)-I23))</x:f>
        <x:v>12</x:v>
      </x:c>
      <x:c r="W23" s="2" t="str">
        <x:f>IF(T23="","Pendiente",IF(T23&lt;=I23,"Sí","No"))</x:f>
        <x:v>No</x:v>
      </x:c>
      <x:c r="X23" s="2" t="str">
        <x:v>evidencias/FAC-1-0022-comprobante.pdf</x:v>
      </x:c>
      <x:c r="Y23" s="2" t="str">
        <x:v>HES emitida después del vencimiento</x:v>
      </x:c>
    </x:row>
    <x:row r="24">
      <x:c r="A24" s="2" t="str">
        <x:v>FAC-1-0023</x:v>
      </x:c>
      <x:c r="B24" s="2" t="str">
        <x:v>76123456-0</x:v>
      </x:c>
      <x:c r="C24" s="2" t="str">
        <x:v>Servicios Cordillera SpA</x:v>
      </x:c>
      <x:c r="D24" s="2" t="str">
        <x:v>96000333-0</x:v>
      </x:c>
      <x:c r="E24" s="2" t="str">
        <x:v>Energía Austral SpA</x:v>
      </x:c>
      <x:c r="F24" s="2" t="str">
        <x:v>factura</x:v>
      </x:c>
      <x:c r="G24" s="2" t="str">
        <x:v>11022</x:v>
      </x:c>
      <x:c r="H24" s="15" t="d">
        <x:v>2026-08-07T00:00:00.000Z</x:v>
      </x:c>
      <x:c r="I24" s="15" t="d">
        <x:v>2026-09-21T00:00:00.000Z</x:v>
      </x:c>
      <x:c r="J24" s="16" t="n">
        <x:v>4186000</x:v>
      </x:c>
      <x:c r="K24" s="2" t="str">
        <x:v>CLP</x:v>
      </x:c>
      <x:c r="L24" s="2" t="str">
        <x:v>Sí</x:v>
      </x:c>
      <x:c r="M24" s="2" t="str">
        <x:v>OC-18122</x:v>
      </x:c>
      <x:c r="N24" s="2" t="str">
        <x:v>Sí</x:v>
      </x:c>
      <x:c r="O24" s="2" t="str">
        <x:v>HES-15222</x:v>
      </x:c>
      <x:c r="P24" s="2" t="str">
        <x:v>Sí</x:v>
      </x:c>
      <x:c r="Q24" s="15" t="d">
        <x:v>2026-09-27T00:00:00.000Z</x:v>
      </x:c>
      <x:c r="R24" s="2" t="str">
        <x:v>aceptada</x:v>
      </x:c>
      <x:c r="S24" s="2" t="str">
        <x:v>pagada</x:v>
      </x:c>
      <x:c r="T24" s="15" t="d">
        <x:v>2026-09-29T00:00:00.000Z</x:v>
      </x:c>
      <x:c r="U24" s="2" t="str">
        <x:v>documental_portal</x:v>
      </x:c>
      <x:c r="V24" s="17" t="n">
        <x:f>IF(T24&lt;&gt;"",MAX(0,T24-I24),MAX(0,DATE(2026,10,14)-I24))</x:f>
        <x:v>8</x:v>
      </x:c>
      <x:c r="W24" s="2" t="str">
        <x:f>IF(T24="","Pendiente",IF(T24&lt;=I24,"Sí","No"))</x:f>
        <x:v>No</x:v>
      </x:c>
      <x:c r="X24" s="2" t="str">
        <x:v>evidencias/FAC-1-0023-comprobante.pdf</x:v>
      </x:c>
      <x:c r="Y24" s="2" t="str">
        <x:v>Carga en portal completada tarde</x:v>
      </x:c>
    </x:row>
    <x:row r="25">
      <x:c r="A25" s="2" t="str">
        <x:v>FAC-1-0024</x:v>
      </x:c>
      <x:c r="B25" s="2" t="str">
        <x:v>76123456-0</x:v>
      </x:c>
      <x:c r="C25" s="2" t="str">
        <x:v>Servicios Cordillera SpA</x:v>
      </x:c>
      <x:c r="D25" s="2" t="str">
        <x:v>96000444-2</x:v>
      </x:c>
      <x:c r="E25" s="2" t="str">
        <x:v>Constructora Valle Central S.A.</x:v>
      </x:c>
      <x:c r="F25" s="2" t="str">
        <x:v>factura</x:v>
      </x:c>
      <x:c r="G25" s="2" t="str">
        <x:v>11023</x:v>
      </x:c>
      <x:c r="H25" s="15" t="d">
        <x:v>2026-08-10T00:00:00.000Z</x:v>
      </x:c>
      <x:c r="I25" s="15" t="d">
        <x:v>2026-09-09T00:00:00.000Z</x:v>
      </x:c>
      <x:c r="J25" s="16" t="n">
        <x:v>4359000</x:v>
      </x:c>
      <x:c r="K25" s="2" t="str">
        <x:v>CLP</x:v>
      </x:c>
      <x:c r="L25" s="2" t="str">
        <x:v>Sí</x:v>
      </x:c>
      <x:c r="M25" s="2" t="str"/>
      <x:c r="N25" s="2" t="str">
        <x:v>Sí</x:v>
      </x:c>
      <x:c r="O25" s="2" t="str">
        <x:v>HES-15223</x:v>
      </x:c>
      <x:c r="P25" s="2" t="str">
        <x:v>No</x:v>
      </x:c>
      <x:c r="Q25" s="15"/>
      <x:c r="R25" s="2" t="str">
        <x:v>aceptada</x:v>
      </x:c>
      <x:c r="S25" s="2" t="str">
        <x:v>emitida</x:v>
      </x:c>
      <x:c r="T25" s="15"/>
      <x:c r="U25" s="2" t="str">
        <x:v>documental_oc</x:v>
      </x:c>
      <x:c r="V25" s="17" t="n">
        <x:f>IF(T25&lt;&gt;"",MAX(0,T25-I25),MAX(0,DATE(2026,10,14)-I25))</x:f>
        <x:v>35</x:v>
      </x:c>
      <x:c r="W25" s="2" t="str">
        <x:f>IF(T25="","Pendiente",IF(T25&lt;=I25,"Sí","No"))</x:f>
        <x:v>Pendiente</x:v>
      </x:c>
      <x:c r="X25" s="2" t="str"/>
      <x:c r="Y25" s="2" t="str">
        <x:v>OC pendiente del solicitante</x:v>
      </x:c>
    </x:row>
    <x:row r="26">
      <x:c r="A26" s="2" t="str">
        <x:v>FAC-1-0025</x:v>
      </x:c>
      <x:c r="B26" s="2" t="str">
        <x:v>76123456-0</x:v>
      </x:c>
      <x:c r="C26" s="2" t="str">
        <x:v>Servicios Cordillera SpA</x:v>
      </x:c>
      <x:c r="D26" s="2" t="str">
        <x:v>96000555-4</x:v>
      </x:c>
      <x:c r="E26" s="2" t="str">
        <x:v>Alimentos Pacífico Ltda.</x:v>
      </x:c>
      <x:c r="F26" s="2" t="str">
        <x:v>factura</x:v>
      </x:c>
      <x:c r="G26" s="2" t="str">
        <x:v>11024</x:v>
      </x:c>
      <x:c r="H26" s="15" t="d">
        <x:v>2026-08-13T00:00:00.000Z</x:v>
      </x:c>
      <x:c r="I26" s="15" t="d">
        <x:v>2026-09-12T00:00:00.000Z</x:v>
      </x:c>
      <x:c r="J26" s="16" t="n">
        <x:v>4532000</x:v>
      </x:c>
      <x:c r="K26" s="2" t="str">
        <x:v>CLP</x:v>
      </x:c>
      <x:c r="L26" s="2" t="str">
        <x:v>Sí</x:v>
      </x:c>
      <x:c r="M26" s="2" t="str">
        <x:v>OC-18124</x:v>
      </x:c>
      <x:c r="N26" s="2" t="str">
        <x:v>No</x:v>
      </x:c>
      <x:c r="O26" s="2" t="str"/>
      <x:c r="P26" s="2" t="str">
        <x:v>No</x:v>
      </x:c>
      <x:c r="Q26" s="15"/>
      <x:c r="R26" s="2" t="str">
        <x:v>aceptada</x:v>
      </x:c>
      <x:c r="S26" s="2" t="str">
        <x:v>emitida</x:v>
      </x:c>
      <x:c r="T26" s="15"/>
      <x:c r="U26" s="2" t="str">
        <x:v>proceso_interno_pagador</x:v>
      </x:c>
      <x:c r="V26" s="17" t="n">
        <x:f>IF(T26&lt;&gt;"",MAX(0,T26-I26),MAX(0,DATE(2026,10,14)-I26))</x:f>
        <x:v>32</x:v>
      </x:c>
      <x:c r="W26" s="2" t="str">
        <x:f>IF(T26="","Pendiente",IF(T26&lt;=I26,"Sí","No"))</x:f>
        <x:v>Pendiente</x:v>
      </x:c>
      <x:c r="X26" s="2" t="str"/>
      <x:c r="Y26" s="2" t="str">
        <x:v>Factura aprobada y programada para el próximo ciclo</x:v>
      </x:c>
    </x:row>
    <x:row r="27">
      <x:c r="A27" s="2" t="str">
        <x:v>FAC-1-0026</x:v>
      </x:c>
      <x:c r="B27" s="2" t="str">
        <x:v>76123456-0</x:v>
      </x:c>
      <x:c r="C27" s="2" t="str">
        <x:v>Servicios Cordillera SpA</x:v>
      </x:c>
      <x:c r="D27" s="2" t="str">
        <x:v>96000111-7</x:v>
      </x:c>
      <x:c r="E27" s="2" t="str">
        <x:v>Minera Horizonte S.A.</x:v>
      </x:c>
      <x:c r="F27" s="2" t="str">
        <x:v>factura</x:v>
      </x:c>
      <x:c r="G27" s="2" t="str">
        <x:v>11025</x:v>
      </x:c>
      <x:c r="H27" s="15" t="d">
        <x:v>2026-08-16T00:00:00.000Z</x:v>
      </x:c>
      <x:c r="I27" s="15" t="d">
        <x:v>2026-09-30T00:00:00.000Z</x:v>
      </x:c>
      <x:c r="J27" s="16" t="n">
        <x:v>4705000</x:v>
      </x:c>
      <x:c r="K27" s="2" t="str">
        <x:v>CLP</x:v>
      </x:c>
      <x:c r="L27" s="2" t="str">
        <x:v>Sí</x:v>
      </x:c>
      <x:c r="M27" s="2" t="str">
        <x:v>OC-18125</x:v>
      </x:c>
      <x:c r="N27" s="2" t="str">
        <x:v>Sí</x:v>
      </x:c>
      <x:c r="O27" s="2" t="str">
        <x:v>HES-15225</x:v>
      </x:c>
      <x:c r="P27" s="2" t="str">
        <x:v>Sí</x:v>
      </x:c>
      <x:c r="Q27" s="15" t="d">
        <x:v>2026-08-18T00:00:00.000Z</x:v>
      </x:c>
      <x:c r="R27" s="2" t="str">
        <x:v>reclamada</x:v>
      </x:c>
      <x:c r="S27" s="2" t="str">
        <x:v>reclamada</x:v>
      </x:c>
      <x:c r="T27" s="15"/>
      <x:c r="U27" s="2" t="str">
        <x:v>documental_sii</x:v>
      </x:c>
      <x:c r="V27" s="17" t="n">
        <x:f>IF(T27&lt;&gt;"",MAX(0,T27-I27),MAX(0,DATE(2026,10,14)-I27))</x:f>
        <x:v>14</x:v>
      </x:c>
      <x:c r="W27" s="2" t="str">
        <x:f>IF(T27="","Pendiente",IF(T27&lt;=I27,"Sí","No"))</x:f>
        <x:v>Pendiente</x:v>
      </x:c>
      <x:c r="X27" s="2" t="str"/>
      <x:c r="Y27" s="2" t="str">
        <x:v>Reclamo por referencia contractual incompleta</x:v>
      </x:c>
    </x:row>
    <x:row r="28">
      <x:c r="A28" s="2" t="str">
        <x:v>FAC-1-0027</x:v>
      </x:c>
      <x:c r="B28" s="2" t="str">
        <x:v>76123456-0</x:v>
      </x:c>
      <x:c r="C28" s="2" t="str">
        <x:v>Servicios Cordillera SpA</x:v>
      </x:c>
      <x:c r="D28" s="2" t="str">
        <x:v>96000222-9</x:v>
      </x:c>
      <x:c r="E28" s="2" t="str">
        <x:v>Retail Pórtico S.A.</x:v>
      </x:c>
      <x:c r="F28" s="2" t="str">
        <x:v>factura</x:v>
      </x:c>
      <x:c r="G28" s="2" t="str">
        <x:v>11026</x:v>
      </x:c>
      <x:c r="H28" s="15" t="d">
        <x:v>2026-08-19T00:00:00.000Z</x:v>
      </x:c>
      <x:c r="I28" s="15" t="d">
        <x:v>2026-09-18T00:00:00.000Z</x:v>
      </x:c>
      <x:c r="J28" s="16" t="n">
        <x:v>4878000</x:v>
      </x:c>
      <x:c r="K28" s="2" t="str">
        <x:v>CLP</x:v>
      </x:c>
      <x:c r="L28" s="2" t="str">
        <x:v>Sí</x:v>
      </x:c>
      <x:c r="M28" s="2" t="str">
        <x:v>OC-18126</x:v>
      </x:c>
      <x:c r="N28" s="2" t="str">
        <x:v>No</x:v>
      </x:c>
      <x:c r="O28" s="2" t="str"/>
      <x:c r="P28" s="2" t="str">
        <x:v>Sí</x:v>
      </x:c>
      <x:c r="Q28" s="15" t="d">
        <x:v>2026-08-21T00:00:00.000Z</x:v>
      </x:c>
      <x:c r="R28" s="2" t="str">
        <x:v>aceptada</x:v>
      </x:c>
      <x:c r="S28" s="2" t="str">
        <x:v>disputa</x:v>
      </x:c>
      <x:c r="T28" s="15"/>
      <x:c r="U28" s="2" t="str">
        <x:v>disputa_comercial</x:v>
      </x:c>
      <x:c r="V28" s="17" t="n">
        <x:f>IF(T28&lt;&gt;"",MAX(0,T28-I28),MAX(0,DATE(2026,10,14)-I28))</x:f>
        <x:v>26</x:v>
      </x:c>
      <x:c r="W28" s="2" t="str">
        <x:f>IF(T28="","Pendiente",IF(T28&lt;=I28,"Sí","No"))</x:f>
        <x:v>Pendiente</x:v>
      </x:c>
      <x:c r="X28" s="2" t="str"/>
      <x:c r="Y28" s="2" t="str">
        <x:v>Diferencia sobre alcance del servicio; requiere intervención humana</x:v>
      </x:c>
    </x:row>
    <x:row r="29">
      <x:c r="A29" s="2" t="str">
        <x:v>FAC-1-0028</x:v>
      </x:c>
      <x:c r="B29" s="2" t="str">
        <x:v>76123456-0</x:v>
      </x:c>
      <x:c r="C29" s="2" t="str">
        <x:v>Servicios Cordillera SpA</x:v>
      </x:c>
      <x:c r="D29" s="2" t="str">
        <x:v>96000333-0</x:v>
      </x:c>
      <x:c r="E29" s="2" t="str">
        <x:v>Energía Austral SpA</x:v>
      </x:c>
      <x:c r="F29" s="2" t="str">
        <x:v>factura</x:v>
      </x:c>
      <x:c r="G29" s="2" t="str">
        <x:v>11027</x:v>
      </x:c>
      <x:c r="H29" s="15" t="d">
        <x:v>2026-08-22T00:00:00.000Z</x:v>
      </x:c>
      <x:c r="I29" s="15" t="d">
        <x:v>2026-10-06T00:00:00.000Z</x:v>
      </x:c>
      <x:c r="J29" s="16" t="n">
        <x:v>5051000</x:v>
      </x:c>
      <x:c r="K29" s="2" t="str">
        <x:v>CLP</x:v>
      </x:c>
      <x:c r="L29" s="2" t="str">
        <x:v>Sí</x:v>
      </x:c>
      <x:c r="M29" s="2" t="str">
        <x:v>OC-18127</x:v>
      </x:c>
      <x:c r="N29" s="2" t="str">
        <x:v>Sí</x:v>
      </x:c>
      <x:c r="O29" s="2" t="str">
        <x:v>HES-15227</x:v>
      </x:c>
      <x:c r="P29" s="2" t="str">
        <x:v>Sí</x:v>
      </x:c>
      <x:c r="Q29" s="15" t="d">
        <x:v>2026-08-24T00:00:00.000Z</x:v>
      </x:c>
      <x:c r="R29" s="2" t="str">
        <x:v>aceptada</x:v>
      </x:c>
      <x:c r="S29" s="2" t="str">
        <x:v>emitida</x:v>
      </x:c>
      <x:c r="T29" s="15"/>
      <x:c r="U29" s="2" t="str">
        <x:v>liquidez_pagador</x:v>
      </x:c>
      <x:c r="V29" s="17" t="n">
        <x:f>IF(T29&lt;&gt;"",MAX(0,T29-I29),MAX(0,DATE(2026,10,14)-I29))</x:f>
        <x:v>8</x:v>
      </x:c>
      <x:c r="W29" s="2" t="str">
        <x:f>IF(T29="","Pendiente",IF(T29&lt;=I29,"Sí","No"))</x:f>
        <x:v>Pendiente</x:v>
      </x:c>
      <x:c r="X29" s="2" t="str"/>
      <x:c r="Y29" s="2" t="str">
        <x:v>Caso abierto; fecha proyectada posterior a la fecha de corte</x:v>
      </x:c>
    </x:row>
    <x:row r="30">
      <x:c r="A30" s="2" t="str">
        <x:v>FAC-1-0029</x:v>
      </x:c>
      <x:c r="B30" s="2" t="str">
        <x:v>76123456-0</x:v>
      </x:c>
      <x:c r="C30" s="2" t="str">
        <x:v>Servicios Cordillera SpA</x:v>
      </x:c>
      <x:c r="D30" s="2" t="str">
        <x:v>96000444-2</x:v>
      </x:c>
      <x:c r="E30" s="2" t="str">
        <x:v>Constructora Valle Central S.A.</x:v>
      </x:c>
      <x:c r="F30" s="2" t="str">
        <x:v>factura</x:v>
      </x:c>
      <x:c r="G30" s="2" t="str">
        <x:v>11028</x:v>
      </x:c>
      <x:c r="H30" s="15" t="d">
        <x:v>2026-08-25T00:00:00.000Z</x:v>
      </x:c>
      <x:c r="I30" s="15" t="d">
        <x:v>2026-09-24T00:00:00.000Z</x:v>
      </x:c>
      <x:c r="J30" s="16" t="n">
        <x:v>5224000</x:v>
      </x:c>
      <x:c r="K30" s="2" t="str">
        <x:v>CLP</x:v>
      </x:c>
      <x:c r="L30" s="2" t="str">
        <x:v>Sí</x:v>
      </x:c>
      <x:c r="M30" s="2" t="str">
        <x:v>OC-18128</x:v>
      </x:c>
      <x:c r="N30" s="2" t="str">
        <x:v>Sí</x:v>
      </x:c>
      <x:c r="O30" s="2" t="str">
        <x:v>HES-15228</x:v>
      </x:c>
      <x:c r="P30" s="2" t="str">
        <x:v>No</x:v>
      </x:c>
      <x:c r="Q30" s="15"/>
      <x:c r="R30" s="2" t="str">
        <x:v>aceptada</x:v>
      </x:c>
      <x:c r="S30" s="2" t="str">
        <x:v>pagada</x:v>
      </x:c>
      <x:c r="T30" s="15" t="d">
        <x:v>2026-09-23T00:00:00.000Z</x:v>
      </x:c>
      <x:c r="U30" s="2" t="str"/>
      <x:c r="V30" s="17" t="n">
        <x:f>IF(T30&lt;&gt;"",MAX(0,T30-I30),MAX(0,DATE(2026,10,14)-I30))</x:f>
        <x:v>0</x:v>
      </x:c>
      <x:c r="W30" s="2" t="str">
        <x:f>IF(T30="","Pendiente",IF(T30&lt;=I30,"Sí","No"))</x:f>
        <x:v>Sí</x:v>
      </x:c>
      <x:c r="X30" s="2" t="str">
        <x:v>evidencias/FAC-1-0029-comprobante.pdf</x:v>
      </x:c>
      <x:c r="Y30" s="2" t="str">
        <x:v>Problema documental resuelto antes del vencimiento</x:v>
      </x:c>
    </x:row>
    <x:row r="31">
      <x:c r="A31" s="2" t="str">
        <x:v>FAC-1-0030</x:v>
      </x:c>
      <x:c r="B31" s="2" t="str">
        <x:v>76123456-0</x:v>
      </x:c>
      <x:c r="C31" s="2" t="str">
        <x:v>Servicios Cordillera SpA</x:v>
      </x:c>
      <x:c r="D31" s="2" t="str">
        <x:v>96000555-4</x:v>
      </x:c>
      <x:c r="E31" s="2" t="str">
        <x:v>Alimentos Pacífico Ltda.</x:v>
      </x:c>
      <x:c r="F31" s="2" t="str">
        <x:v>factura</x:v>
      </x:c>
      <x:c r="G31" s="2" t="str">
        <x:v>11029</x:v>
      </x:c>
      <x:c r="H31" s="15" t="d">
        <x:v>2026-08-28T00:00:00.000Z</x:v>
      </x:c>
      <x:c r="I31" s="15" t="d">
        <x:v>2026-09-27T00:00:00.000Z</x:v>
      </x:c>
      <x:c r="J31" s="16" t="n">
        <x:v>5397000</x:v>
      </x:c>
      <x:c r="K31" s="2" t="str">
        <x:v>CLP</x:v>
      </x:c>
      <x:c r="L31" s="2" t="str">
        <x:v>Sí</x:v>
      </x:c>
      <x:c r="M31" s="2" t="str">
        <x:v>OC-18129</x:v>
      </x:c>
      <x:c r="N31" s="2" t="str">
        <x:v>No</x:v>
      </x:c>
      <x:c r="O31" s="2" t="str"/>
      <x:c r="P31" s="2" t="str">
        <x:v>No</x:v>
      </x:c>
      <x:c r="Q31" s="15"/>
      <x:c r="R31" s="2" t="str">
        <x:v>aceptada</x:v>
      </x:c>
      <x:c r="S31" s="2" t="str">
        <x:v>emitida</x:v>
      </x:c>
      <x:c r="T31" s="15"/>
      <x:c r="U31" s="2" t="str">
        <x:v>proceso_interno_pagador</x:v>
      </x:c>
      <x:c r="V31" s="17" t="n">
        <x:f>IF(T31&lt;&gt;"",MAX(0,T31-I31),MAX(0,DATE(2026,10,14)-I31))</x:f>
        <x:v>17</x:v>
      </x:c>
      <x:c r="W31" s="2" t="str">
        <x:f>IF(T31="","Pendiente",IF(T31&lt;=I31,"Sí","No"))</x:f>
        <x:v>Pendiente</x:v>
      </x:c>
      <x:c r="X31" s="2" t="str"/>
      <x:c r="Y31" s="2" t="str">
        <x:v>Factura aún dentro de plazo</x:v>
      </x:c>
    </x:row>
    <x:row r="32">
      <x:c r="A32" s="2" t="str">
        <x:v>FAC-1-0031</x:v>
      </x:c>
      <x:c r="B32" s="2" t="str">
        <x:v>76123456-0</x:v>
      </x:c>
      <x:c r="C32" s="2" t="str">
        <x:v>Servicios Cordillera SpA</x:v>
      </x:c>
      <x:c r="D32" s="2" t="str">
        <x:v>96000111-7</x:v>
      </x:c>
      <x:c r="E32" s="2" t="str">
        <x:v>Minera Horizonte S.A.</x:v>
      </x:c>
      <x:c r="F32" s="2" t="str">
        <x:v>factura</x:v>
      </x:c>
      <x:c r="G32" s="2" t="str">
        <x:v>11030</x:v>
      </x:c>
      <x:c r="H32" s="15" t="d">
        <x:v>2026-08-31T00:00:00.000Z</x:v>
      </x:c>
      <x:c r="I32" s="15" t="d">
        <x:v>2026-10-15T00:00:00.000Z</x:v>
      </x:c>
      <x:c r="J32" s="16" t="n">
        <x:v>5570000</x:v>
      </x:c>
      <x:c r="K32" s="2" t="str">
        <x:v>CLP</x:v>
      </x:c>
      <x:c r="L32" s="2" t="str">
        <x:v>Sí</x:v>
      </x:c>
      <x:c r="M32" s="2" t="str">
        <x:v>OC-18130</x:v>
      </x:c>
      <x:c r="N32" s="2" t="str">
        <x:v>Sí</x:v>
      </x:c>
      <x:c r="O32" s="2" t="str">
        <x:v>HES-15230</x:v>
      </x:c>
      <x:c r="P32" s="2" t="str">
        <x:v>Sí</x:v>
      </x:c>
      <x:c r="Q32" s="15" t="d">
        <x:v>2026-09-02T00:00:00.000Z</x:v>
      </x:c>
      <x:c r="R32" s="2" t="str">
        <x:v>aceptada</x:v>
      </x:c>
      <x:c r="S32" s="2" t="str">
        <x:v>pagada</x:v>
      </x:c>
      <x:c r="T32" s="15" t="d">
        <x:v>2026-10-11T00:00:00.000Z</x:v>
      </x:c>
      <x:c r="U32" s="2" t="str"/>
      <x:c r="V32" s="17" t="n">
        <x:f>IF(T32&lt;&gt;"",MAX(0,T32-I32),MAX(0,DATE(2026,10,14)-I32))</x:f>
        <x:v>0</x:v>
      </x:c>
      <x:c r="W32" s="2" t="str">
        <x:f>IF(T32="","Pendiente",IF(T32&lt;=I32,"Sí","No"))</x:f>
        <x:v>Sí</x:v>
      </x:c>
      <x:c r="X32" s="2" t="str">
        <x:v>evidencias/FAC-1-0031-comprobante.pdf</x:v>
      </x:c>
      <x:c r="Y32" s="2" t="str">
        <x:v>Pago normal</x:v>
      </x:c>
    </x:row>
    <x:row r="33">
      <x:c r="A33" s="2" t="str">
        <x:v>FAC-1-0032</x:v>
      </x:c>
      <x:c r="B33" s="2" t="str">
        <x:v>76123456-0</x:v>
      </x:c>
      <x:c r="C33" s="2" t="str">
        <x:v>Servicios Cordillera SpA</x:v>
      </x:c>
      <x:c r="D33" s="2" t="str">
        <x:v>96000222-9</x:v>
      </x:c>
      <x:c r="E33" s="2" t="str">
        <x:v>Retail Pórtico S.A.</x:v>
      </x:c>
      <x:c r="F33" s="2" t="str">
        <x:v>factura</x:v>
      </x:c>
      <x:c r="G33" s="2" t="str">
        <x:v>11031</x:v>
      </x:c>
      <x:c r="H33" s="15" t="d">
        <x:v>2026-09-03T00:00:00.000Z</x:v>
      </x:c>
      <x:c r="I33" s="15" t="d">
        <x:v>2026-10-03T00:00:00.000Z</x:v>
      </x:c>
      <x:c r="J33" s="16" t="n">
        <x:v>5743000</x:v>
      </x:c>
      <x:c r="K33" s="2" t="str">
        <x:v>CLP</x:v>
      </x:c>
      <x:c r="L33" s="2" t="str">
        <x:v>Sí</x:v>
      </x:c>
      <x:c r="M33" s="2" t="str">
        <x:v>OC-18131</x:v>
      </x:c>
      <x:c r="N33" s="2" t="str">
        <x:v>No</x:v>
      </x:c>
      <x:c r="O33" s="2" t="str"/>
      <x:c r="P33" s="2" t="str">
        <x:v>Sí</x:v>
      </x:c>
      <x:c r="Q33" s="15" t="d">
        <x:v>2026-09-05T00:00:00.000Z</x:v>
      </x:c>
      <x:c r="R33" s="2" t="str">
        <x:v>aceptada</x:v>
      </x:c>
      <x:c r="S33" s="2" t="str">
        <x:v>emitida</x:v>
      </x:c>
      <x:c r="T33" s="15"/>
      <x:c r="U33" s="2" t="str">
        <x:v>documental_hes_conformidad</x:v>
      </x:c>
      <x:c r="V33" s="17" t="n">
        <x:f>IF(T33&lt;&gt;"",MAX(0,T33-I33),MAX(0,DATE(2026,10,14)-I33))</x:f>
        <x:v>11</x:v>
      </x:c>
      <x:c r="W33" s="2" t="str">
        <x:f>IF(T33="","Pendiente",IF(T33&lt;=I33,"Sí","No"))</x:f>
        <x:v>Pendiente</x:v>
      </x:c>
      <x:c r="X33" s="2" t="str"/>
      <x:c r="Y33" s="2" t="str">
        <x:v>Caso abierto; fecha proyectada posterior a la fecha de corte</x:v>
      </x:c>
    </x:row>
    <x:row r="34">
      <x:c r="A34" s="2" t="str">
        <x:v>FAC-1-0033</x:v>
      </x:c>
      <x:c r="B34" s="2" t="str">
        <x:v>76123456-0</x:v>
      </x:c>
      <x:c r="C34" s="2" t="str">
        <x:v>Servicios Cordillera SpA</x:v>
      </x:c>
      <x:c r="D34" s="2" t="str">
        <x:v>96000333-0</x:v>
      </x:c>
      <x:c r="E34" s="2" t="str">
        <x:v>Energía Austral SpA</x:v>
      </x:c>
      <x:c r="F34" s="2" t="str">
        <x:v>factura</x:v>
      </x:c>
      <x:c r="G34" s="2" t="str">
        <x:v>11032</x:v>
      </x:c>
      <x:c r="H34" s="15" t="d">
        <x:v>2026-09-06T00:00:00.000Z</x:v>
      </x:c>
      <x:c r="I34" s="15" t="d">
        <x:v>2026-10-21T00:00:00.000Z</x:v>
      </x:c>
      <x:c r="J34" s="16" t="n">
        <x:v>516000</x:v>
      </x:c>
      <x:c r="K34" s="2" t="str">
        <x:v>CLP</x:v>
      </x:c>
      <x:c r="L34" s="2" t="str">
        <x:v>Sí</x:v>
      </x:c>
      <x:c r="M34" s="2" t="str">
        <x:v>OC-18132</x:v>
      </x:c>
      <x:c r="N34" s="2" t="str">
        <x:v>Sí</x:v>
      </x:c>
      <x:c r="O34" s="2" t="str">
        <x:v>HES-15232</x:v>
      </x:c>
      <x:c r="P34" s="2" t="str">
        <x:v>Sí</x:v>
      </x:c>
      <x:c r="Q34" s="15"/>
      <x:c r="R34" s="2" t="str">
        <x:v>aceptada</x:v>
      </x:c>
      <x:c r="S34" s="2" t="str">
        <x:v>emitida</x:v>
      </x:c>
      <x:c r="T34" s="15"/>
      <x:c r="U34" s="2" t="str">
        <x:v>documental_portal</x:v>
      </x:c>
      <x:c r="V34" s="17" t="n">
        <x:f>IF(T34&lt;&gt;"",MAX(0,T34-I34),MAX(0,DATE(2026,10,14)-I34))</x:f>
        <x:v>0</x:v>
      </x:c>
      <x:c r="W34" s="2" t="str">
        <x:f>IF(T34="","Pendiente",IF(T34&lt;=I34,"Sí","No"))</x:f>
        <x:v>Pendiente</x:v>
      </x:c>
      <x:c r="X34" s="2" t="str"/>
      <x:c r="Y34" s="2" t="str">
        <x:v>Caso abierto; fecha proyectada posterior a la fecha de corte</x:v>
      </x:c>
    </x:row>
    <x:row r="35">
      <x:c r="A35" s="2" t="str">
        <x:v>FAC-1-0034</x:v>
      </x:c>
      <x:c r="B35" s="2" t="str">
        <x:v>76123456-0</x:v>
      </x:c>
      <x:c r="C35" s="2" t="str">
        <x:v>Servicios Cordillera SpA</x:v>
      </x:c>
      <x:c r="D35" s="2" t="str">
        <x:v>96000444-2</x:v>
      </x:c>
      <x:c r="E35" s="2" t="str">
        <x:v>Constructora Valle Central S.A.</x:v>
      </x:c>
      <x:c r="F35" s="2" t="str">
        <x:v>factura</x:v>
      </x:c>
      <x:c r="G35" s="2" t="str">
        <x:v>11033</x:v>
      </x:c>
      <x:c r="H35" s="15" t="d">
        <x:v>2026-09-09T00:00:00.000Z</x:v>
      </x:c>
      <x:c r="I35" s="15" t="d">
        <x:v>2026-10-09T00:00:00.000Z</x:v>
      </x:c>
      <x:c r="J35" s="16" t="n">
        <x:v>689000</x:v>
      </x:c>
      <x:c r="K35" s="2" t="str">
        <x:v>CLP</x:v>
      </x:c>
      <x:c r="L35" s="2" t="str">
        <x:v>Sí</x:v>
      </x:c>
      <x:c r="M35" s="2" t="str"/>
      <x:c r="N35" s="2" t="str">
        <x:v>Sí</x:v>
      </x:c>
      <x:c r="O35" s="2" t="str">
        <x:v>HES-15233</x:v>
      </x:c>
      <x:c r="P35" s="2" t="str">
        <x:v>No</x:v>
      </x:c>
      <x:c r="Q35" s="15"/>
      <x:c r="R35" s="2" t="str">
        <x:v>aceptada</x:v>
      </x:c>
      <x:c r="S35" s="2" t="str">
        <x:v>emitida</x:v>
      </x:c>
      <x:c r="T35" s="15"/>
      <x:c r="U35" s="2" t="str">
        <x:v>documental_oc</x:v>
      </x:c>
      <x:c r="V35" s="17" t="n">
        <x:f>IF(T35&lt;&gt;"",MAX(0,T35-I35),MAX(0,DATE(2026,10,14)-I35))</x:f>
        <x:v>5</x:v>
      </x:c>
      <x:c r="W35" s="2" t="str">
        <x:f>IF(T35="","Pendiente",IF(T35&lt;=I35,"Sí","No"))</x:f>
        <x:v>Pendiente</x:v>
      </x:c>
      <x:c r="X35" s="2" t="str"/>
      <x:c r="Y35" s="2" t="str">
        <x:v>OC pendiente del solicitante</x:v>
      </x:c>
    </x:row>
    <x:row r="36">
      <x:c r="A36" s="2" t="str">
        <x:v>FAC-1-0035</x:v>
      </x:c>
      <x:c r="B36" s="2" t="str">
        <x:v>76123456-0</x:v>
      </x:c>
      <x:c r="C36" s="2" t="str">
        <x:v>Servicios Cordillera SpA</x:v>
      </x:c>
      <x:c r="D36" s="2" t="str">
        <x:v>96000555-4</x:v>
      </x:c>
      <x:c r="E36" s="2" t="str">
        <x:v>Alimentos Pacífico Ltda.</x:v>
      </x:c>
      <x:c r="F36" s="2" t="str">
        <x:v>factura</x:v>
      </x:c>
      <x:c r="G36" s="2" t="str">
        <x:v>11034</x:v>
      </x:c>
      <x:c r="H36" s="15" t="d">
        <x:v>2026-09-12T00:00:00.000Z</x:v>
      </x:c>
      <x:c r="I36" s="15" t="d">
        <x:v>2026-10-12T00:00:00.000Z</x:v>
      </x:c>
      <x:c r="J36" s="16" t="n">
        <x:v>862000</x:v>
      </x:c>
      <x:c r="K36" s="2" t="str">
        <x:v>CLP</x:v>
      </x:c>
      <x:c r="L36" s="2" t="str">
        <x:v>Sí</x:v>
      </x:c>
      <x:c r="M36" s="2" t="str">
        <x:v>OC-18134</x:v>
      </x:c>
      <x:c r="N36" s="2" t="str">
        <x:v>No</x:v>
      </x:c>
      <x:c r="O36" s="2" t="str"/>
      <x:c r="P36" s="2" t="str">
        <x:v>No</x:v>
      </x:c>
      <x:c r="Q36" s="15"/>
      <x:c r="R36" s="2" t="str">
        <x:v>aceptada</x:v>
      </x:c>
      <x:c r="S36" s="2" t="str">
        <x:v>emitida</x:v>
      </x:c>
      <x:c r="T36" s="15"/>
      <x:c r="U36" s="2" t="str">
        <x:v>proceso_interno_pagador</x:v>
      </x:c>
      <x:c r="V36" s="17" t="n">
        <x:f>IF(T36&lt;&gt;"",MAX(0,T36-I36),MAX(0,DATE(2026,10,14)-I36))</x:f>
        <x:v>2</x:v>
      </x:c>
      <x:c r="W36" s="2" t="str">
        <x:f>IF(T36="","Pendiente",IF(T36&lt;=I36,"Sí","No"))</x:f>
        <x:v>Pendiente</x:v>
      </x:c>
      <x:c r="X36" s="2" t="str"/>
      <x:c r="Y36" s="2" t="str">
        <x:v>Factura aprobada y programada para el próximo ciclo</x:v>
      </x:c>
    </x:row>
    <x:row r="37">
      <x:c r="A37" s="2" t="str">
        <x:v>FAC-1-0036</x:v>
      </x:c>
      <x:c r="B37" s="2" t="str">
        <x:v>76123456-0</x:v>
      </x:c>
      <x:c r="C37" s="2" t="str">
        <x:v>Servicios Cordillera SpA</x:v>
      </x:c>
      <x:c r="D37" s="2" t="str">
        <x:v>96000111-7</x:v>
      </x:c>
      <x:c r="E37" s="2" t="str">
        <x:v>Minera Horizonte S.A.</x:v>
      </x:c>
      <x:c r="F37" s="2" t="str">
        <x:v>factura</x:v>
      </x:c>
      <x:c r="G37" s="2" t="str">
        <x:v>11035</x:v>
      </x:c>
      <x:c r="H37" s="15" t="d">
        <x:v>2026-09-15T00:00:00.000Z</x:v>
      </x:c>
      <x:c r="I37" s="15" t="d">
        <x:v>2026-10-30T00:00:00.000Z</x:v>
      </x:c>
      <x:c r="J37" s="16" t="n">
        <x:v>1035000</x:v>
      </x:c>
      <x:c r="K37" s="2" t="str">
        <x:v>CLP</x:v>
      </x:c>
      <x:c r="L37" s="2" t="str">
        <x:v>Sí</x:v>
      </x:c>
      <x:c r="M37" s="2" t="str">
        <x:v>OC-18135</x:v>
      </x:c>
      <x:c r="N37" s="2" t="str">
        <x:v>Sí</x:v>
      </x:c>
      <x:c r="O37" s="2" t="str">
        <x:v>HES-15235</x:v>
      </x:c>
      <x:c r="P37" s="2" t="str">
        <x:v>Sí</x:v>
      </x:c>
      <x:c r="Q37" s="15" t="d">
        <x:v>2026-09-17T00:00:00.000Z</x:v>
      </x:c>
      <x:c r="R37" s="2" t="str">
        <x:v>reclamada</x:v>
      </x:c>
      <x:c r="S37" s="2" t="str">
        <x:v>reclamada</x:v>
      </x:c>
      <x:c r="T37" s="15"/>
      <x:c r="U37" s="2" t="str">
        <x:v>documental_sii</x:v>
      </x:c>
      <x:c r="V37" s="17" t="n">
        <x:f>IF(T37&lt;&gt;"",MAX(0,T37-I37),MAX(0,DATE(2026,10,14)-I37))</x:f>
        <x:v>0</x:v>
      </x:c>
      <x:c r="W37" s="2" t="str">
        <x:f>IF(T37="","Pendiente",IF(T37&lt;=I37,"Sí","No"))</x:f>
        <x:v>Pendiente</x:v>
      </x:c>
      <x:c r="X37" s="2" t="str"/>
      <x:c r="Y37" s="2" t="str">
        <x:v>Reclamo por referencia contractual incompleta</x:v>
      </x:c>
    </x:row>
    <x:row r="38">
      <x:c r="A38" s="2" t="str">
        <x:v>FAC-1-0037</x:v>
      </x:c>
      <x:c r="B38" s="2" t="str">
        <x:v>76123456-0</x:v>
      </x:c>
      <x:c r="C38" s="2" t="str">
        <x:v>Servicios Cordillera SpA</x:v>
      </x:c>
      <x:c r="D38" s="2" t="str">
        <x:v>96000222-9</x:v>
      </x:c>
      <x:c r="E38" s="2" t="str">
        <x:v>Retail Pórtico S.A.</x:v>
      </x:c>
      <x:c r="F38" s="2" t="str">
        <x:v>factura</x:v>
      </x:c>
      <x:c r="G38" s="2" t="str">
        <x:v>11036</x:v>
      </x:c>
      <x:c r="H38" s="15" t="d">
        <x:v>2026-09-18T00:00:00.000Z</x:v>
      </x:c>
      <x:c r="I38" s="15" t="d">
        <x:v>2026-10-18T00:00:00.000Z</x:v>
      </x:c>
      <x:c r="J38" s="16" t="n">
        <x:v>1208000</x:v>
      </x:c>
      <x:c r="K38" s="2" t="str">
        <x:v>CLP</x:v>
      </x:c>
      <x:c r="L38" s="2" t="str">
        <x:v>Sí</x:v>
      </x:c>
      <x:c r="M38" s="2" t="str">
        <x:v>OC-18136</x:v>
      </x:c>
      <x:c r="N38" s="2" t="str">
        <x:v>No</x:v>
      </x:c>
      <x:c r="O38" s="2" t="str"/>
      <x:c r="P38" s="2" t="str">
        <x:v>Sí</x:v>
      </x:c>
      <x:c r="Q38" s="15" t="d">
        <x:v>2026-09-20T00:00:00.000Z</x:v>
      </x:c>
      <x:c r="R38" s="2" t="str">
        <x:v>aceptada</x:v>
      </x:c>
      <x:c r="S38" s="2" t="str">
        <x:v>disputa</x:v>
      </x:c>
      <x:c r="T38" s="15"/>
      <x:c r="U38" s="2" t="str">
        <x:v>disputa_comercial</x:v>
      </x:c>
      <x:c r="V38" s="17" t="n">
        <x:f>IF(T38&lt;&gt;"",MAX(0,T38-I38),MAX(0,DATE(2026,10,14)-I38))</x:f>
        <x:v>0</x:v>
      </x:c>
      <x:c r="W38" s="2" t="str">
        <x:f>IF(T38="","Pendiente",IF(T38&lt;=I38,"Sí","No"))</x:f>
        <x:v>Pendiente</x:v>
      </x:c>
      <x:c r="X38" s="2" t="str"/>
      <x:c r="Y38" s="2" t="str">
        <x:v>Diferencia sobre alcance del servicio; requiere intervención humana</x:v>
      </x:c>
    </x:row>
    <x:row r="39">
      <x:c r="A39" s="2" t="str">
        <x:v>FAC-1-0038</x:v>
      </x:c>
      <x:c r="B39" s="2" t="str">
        <x:v>76123456-0</x:v>
      </x:c>
      <x:c r="C39" s="2" t="str">
        <x:v>Servicios Cordillera SpA</x:v>
      </x:c>
      <x:c r="D39" s="2" t="str">
        <x:v>96000333-0</x:v>
      </x:c>
      <x:c r="E39" s="2" t="str">
        <x:v>Energía Austral SpA</x:v>
      </x:c>
      <x:c r="F39" s="2" t="str">
        <x:v>factura</x:v>
      </x:c>
      <x:c r="G39" s="2" t="str">
        <x:v>11037</x:v>
      </x:c>
      <x:c r="H39" s="15" t="d">
        <x:v>2026-09-21T00:00:00.000Z</x:v>
      </x:c>
      <x:c r="I39" s="15" t="d">
        <x:v>2026-11-05T00:00:00.000Z</x:v>
      </x:c>
      <x:c r="J39" s="16" t="n">
        <x:v>1381000</x:v>
      </x:c>
      <x:c r="K39" s="2" t="str">
        <x:v>CLP</x:v>
      </x:c>
      <x:c r="L39" s="2" t="str">
        <x:v>Sí</x:v>
      </x:c>
      <x:c r="M39" s="2" t="str">
        <x:v>OC-18137</x:v>
      </x:c>
      <x:c r="N39" s="2" t="str">
        <x:v>Sí</x:v>
      </x:c>
      <x:c r="O39" s="2" t="str">
        <x:v>HES-15237</x:v>
      </x:c>
      <x:c r="P39" s="2" t="str">
        <x:v>Sí</x:v>
      </x:c>
      <x:c r="Q39" s="15" t="d">
        <x:v>2026-09-23T00:00:00.000Z</x:v>
      </x:c>
      <x:c r="R39" s="2" t="str">
        <x:v>aceptada</x:v>
      </x:c>
      <x:c r="S39" s="2" t="str">
        <x:v>emitida</x:v>
      </x:c>
      <x:c r="T39" s="15"/>
      <x:c r="U39" s="2" t="str">
        <x:v>liquidez_pagador</x:v>
      </x:c>
      <x:c r="V39" s="17" t="n">
        <x:f>IF(T39&lt;&gt;"",MAX(0,T39-I39),MAX(0,DATE(2026,10,14)-I39))</x:f>
        <x:v>0</x:v>
      </x:c>
      <x:c r="W39" s="2" t="str">
        <x:f>IF(T39="","Pendiente",IF(T39&lt;=I39,"Sí","No"))</x:f>
        <x:v>Pendiente</x:v>
      </x:c>
      <x:c r="X39" s="2" t="str"/>
      <x:c r="Y39" s="2" t="str">
        <x:v>Caso abierto; fecha proyectada posterior a la fecha de corte</x:v>
      </x:c>
    </x:row>
    <x:row r="40">
      <x:c r="A40" s="2" t="str">
        <x:v>FAC-1-0039</x:v>
      </x:c>
      <x:c r="B40" s="2" t="str">
        <x:v>76123456-0</x:v>
      </x:c>
      <x:c r="C40" s="2" t="str">
        <x:v>Servicios Cordillera SpA</x:v>
      </x:c>
      <x:c r="D40" s="2" t="str">
        <x:v>96000444-2</x:v>
      </x:c>
      <x:c r="E40" s="2" t="str">
        <x:v>Constructora Valle Central S.A.</x:v>
      </x:c>
      <x:c r="F40" s="2" t="str">
        <x:v>factura</x:v>
      </x:c>
      <x:c r="G40" s="2" t="str">
        <x:v>11038</x:v>
      </x:c>
      <x:c r="H40" s="15" t="d">
        <x:v>2026-09-24T00:00:00.000Z</x:v>
      </x:c>
      <x:c r="I40" s="15" t="d">
        <x:v>2026-10-24T00:00:00.000Z</x:v>
      </x:c>
      <x:c r="J40" s="16" t="n">
        <x:v>1554000</x:v>
      </x:c>
      <x:c r="K40" s="2" t="str">
        <x:v>CLP</x:v>
      </x:c>
      <x:c r="L40" s="2" t="str">
        <x:v>Sí</x:v>
      </x:c>
      <x:c r="M40" s="2" t="str">
        <x:v>OC-18138</x:v>
      </x:c>
      <x:c r="N40" s="2" t="str">
        <x:v>Sí</x:v>
      </x:c>
      <x:c r="O40" s="2" t="str">
        <x:v>HES-15238</x:v>
      </x:c>
      <x:c r="P40" s="2" t="str">
        <x:v>No</x:v>
      </x:c>
      <x:c r="Q40" s="15"/>
      <x:c r="R40" s="2" t="str">
        <x:v>aceptada</x:v>
      </x:c>
      <x:c r="S40" s="2" t="str">
        <x:v>emitida</x:v>
      </x:c>
      <x:c r="T40" s="15"/>
      <x:c r="U40" s="2" t="str"/>
      <x:c r="V40" s="17" t="n">
        <x:f>IF(T40&lt;&gt;"",MAX(0,T40-I40),MAX(0,DATE(2026,10,14)-I40))</x:f>
        <x:v>0</x:v>
      </x:c>
      <x:c r="W40" s="2" t="str">
        <x:f>IF(T40="","Pendiente",IF(T40&lt;=I40,"Sí","No"))</x:f>
        <x:v>Pendiente</x:v>
      </x:c>
      <x:c r="X40" s="2" t="str"/>
      <x:c r="Y40" s="2" t="str"/>
    </x:row>
    <x:row r="41">
      <x:c r="A41" s="2" t="str">
        <x:v>FAC-1-0040</x:v>
      </x:c>
      <x:c r="B41" s="2" t="str">
        <x:v>76123456-0</x:v>
      </x:c>
      <x:c r="C41" s="2" t="str">
        <x:v>Servicios Cordillera SpA</x:v>
      </x:c>
      <x:c r="D41" s="2" t="str">
        <x:v>96000555-4</x:v>
      </x:c>
      <x:c r="E41" s="2" t="str">
        <x:v>Alimentos Pacífico Ltda.</x:v>
      </x:c>
      <x:c r="F41" s="2" t="str">
        <x:v>factura</x:v>
      </x:c>
      <x:c r="G41" s="2" t="str">
        <x:v>11039</x:v>
      </x:c>
      <x:c r="H41" s="15" t="d">
        <x:v>2026-09-27T00:00:00.000Z</x:v>
      </x:c>
      <x:c r="I41" s="15" t="d">
        <x:v>2026-10-27T00:00:00.000Z</x:v>
      </x:c>
      <x:c r="J41" s="16" t="n">
        <x:v>1727000</x:v>
      </x:c>
      <x:c r="K41" s="2" t="str">
        <x:v>CLP</x:v>
      </x:c>
      <x:c r="L41" s="2" t="str">
        <x:v>Sí</x:v>
      </x:c>
      <x:c r="M41" s="2" t="str">
        <x:v>OC-18139</x:v>
      </x:c>
      <x:c r="N41" s="2" t="str">
        <x:v>No</x:v>
      </x:c>
      <x:c r="O41" s="2" t="str"/>
      <x:c r="P41" s="2" t="str">
        <x:v>No</x:v>
      </x:c>
      <x:c r="Q41" s="15"/>
      <x:c r="R41" s="2" t="str">
        <x:v>aceptada</x:v>
      </x:c>
      <x:c r="S41" s="2" t="str">
        <x:v>emitida</x:v>
      </x:c>
      <x:c r="T41" s="15"/>
      <x:c r="U41" s="2" t="str"/>
      <x:c r="V41" s="17" t="n">
        <x:f>IF(T41&lt;&gt;"",MAX(0,T41-I41),MAX(0,DATE(2026,10,14)-I41))</x:f>
        <x:v>0</x:v>
      </x:c>
      <x:c r="W41" s="2" t="str">
        <x:f>IF(T41="","Pendiente",IF(T41&lt;=I41,"Sí","No"))</x:f>
        <x:v>Pendiente</x:v>
      </x:c>
      <x:c r="X41" s="2" t="str"/>
      <x:c r="Y41" s="2" t="str">
        <x:v>Factura aún dentro de plazo</x:v>
      </x:c>
    </x:row>
    <x:row r="42">
      <x:c r="A42" s="2" t="str">
        <x:v>FAC-2-0001</x:v>
      </x:c>
      <x:c r="B42" s="2" t="str">
        <x:v>76543210-3</x:v>
      </x:c>
      <x:c r="C42" s="2" t="str">
        <x:v>Ingeniería del Sur Ltda.</x:v>
      </x:c>
      <x:c r="D42" s="2" t="str">
        <x:v>96000111-7</x:v>
      </x:c>
      <x:c r="E42" s="2" t="str">
        <x:v>Minera Horizonte S.A.</x:v>
      </x:c>
      <x:c r="F42" s="2" t="str">
        <x:v>factura</x:v>
      </x:c>
      <x:c r="G42" s="2" t="str">
        <x:v>21000</x:v>
      </x:c>
      <x:c r="H42" s="15" t="d">
        <x:v>2026-06-03T00:00:00.000Z</x:v>
      </x:c>
      <x:c r="I42" s="15" t="d">
        <x:v>2026-07-18T00:00:00.000Z</x:v>
      </x:c>
      <x:c r="J42" s="16" t="n">
        <x:v>675000</x:v>
      </x:c>
      <x:c r="K42" s="2" t="str">
        <x:v>CLP</x:v>
      </x:c>
      <x:c r="L42" s="2" t="str">
        <x:v>Sí</x:v>
      </x:c>
      <x:c r="M42" s="2" t="str"/>
      <x:c r="N42" s="2" t="str">
        <x:v>Sí</x:v>
      </x:c>
      <x:c r="O42" s="2" t="str">
        <x:v>HES-25200</x:v>
      </x:c>
      <x:c r="P42" s="2" t="str">
        <x:v>Sí</x:v>
      </x:c>
      <x:c r="Q42" s="15" t="d">
        <x:v>2026-06-05T00:00:00.000Z</x:v>
      </x:c>
      <x:c r="R42" s="2" t="str">
        <x:v>aceptada</x:v>
      </x:c>
      <x:c r="S42" s="2" t="str">
        <x:v>emitida</x:v>
      </x:c>
      <x:c r="T42" s="15"/>
      <x:c r="U42" s="2" t="str">
        <x:v>documental_oc</x:v>
      </x:c>
      <x:c r="V42" s="17" t="n">
        <x:f>IF(T42&lt;&gt;"",MAX(0,T42-I42),MAX(0,DATE(2026,10,14)-I42))</x:f>
        <x:v>88</x:v>
      </x:c>
      <x:c r="W42" s="2" t="str">
        <x:f>IF(T42="","Pendiente",IF(T42&lt;=I42,"Sí","No"))</x:f>
        <x:v>Pendiente</x:v>
      </x:c>
      <x:c r="X42" s="2" t="str"/>
      <x:c r="Y42" s="2" t="str">
        <x:v>OC pendiente del solicitante</x:v>
      </x:c>
    </x:row>
    <x:row r="43">
      <x:c r="A43" s="2" t="str">
        <x:v>FAC-2-0002</x:v>
      </x:c>
      <x:c r="B43" s="2" t="str">
        <x:v>76543210-3</x:v>
      </x:c>
      <x:c r="C43" s="2" t="str">
        <x:v>Ingeniería del Sur Ltda.</x:v>
      </x:c>
      <x:c r="D43" s="2" t="str">
        <x:v>96000333-0</x:v>
      </x:c>
      <x:c r="E43" s="2" t="str">
        <x:v>Energía Austral SpA</x:v>
      </x:c>
      <x:c r="F43" s="2" t="str">
        <x:v>factura</x:v>
      </x:c>
      <x:c r="G43" s="2" t="str">
        <x:v>21001</x:v>
      </x:c>
      <x:c r="H43" s="15" t="d">
        <x:v>2026-06-06T00:00:00.000Z</x:v>
      </x:c>
      <x:c r="I43" s="15" t="d">
        <x:v>2026-07-21T00:00:00.000Z</x:v>
      </x:c>
      <x:c r="J43" s="16" t="n">
        <x:v>848000</x:v>
      </x:c>
      <x:c r="K43" s="2" t="str">
        <x:v>CLP</x:v>
      </x:c>
      <x:c r="L43" s="2" t="str">
        <x:v>Sí</x:v>
      </x:c>
      <x:c r="M43" s="2" t="str">
        <x:v>OC-28101</x:v>
      </x:c>
      <x:c r="N43" s="2" t="str">
        <x:v>Sí</x:v>
      </x:c>
      <x:c r="O43" s="2" t="str">
        <x:v>HES-25201</x:v>
      </x:c>
      <x:c r="P43" s="2" t="str">
        <x:v>Sí</x:v>
      </x:c>
      <x:c r="Q43" s="15" t="d">
        <x:v>2026-06-08T00:00:00.000Z</x:v>
      </x:c>
      <x:c r="R43" s="2" t="str">
        <x:v>aceptada</x:v>
      </x:c>
      <x:c r="S43" s="2" t="str">
        <x:v>emitida</x:v>
      </x:c>
      <x:c r="T43" s="15"/>
      <x:c r="U43" s="2" t="str">
        <x:v>proceso_interno_pagador</x:v>
      </x:c>
      <x:c r="V43" s="17" t="n">
        <x:f>IF(T43&lt;&gt;"",MAX(0,T43-I43),MAX(0,DATE(2026,10,14)-I43))</x:f>
        <x:v>85</x:v>
      </x:c>
      <x:c r="W43" s="2" t="str">
        <x:f>IF(T43="","Pendiente",IF(T43&lt;=I43,"Sí","No"))</x:f>
        <x:v>Pendiente</x:v>
      </x:c>
      <x:c r="X43" s="2" t="str"/>
      <x:c r="Y43" s="2" t="str">
        <x:v>Factura aprobada y programada para el próximo ciclo</x:v>
      </x:c>
    </x:row>
    <x:row r="44">
      <x:c r="A44" s="2" t="str">
        <x:v>FAC-2-0003</x:v>
      </x:c>
      <x:c r="B44" s="2" t="str">
        <x:v>76543210-3</x:v>
      </x:c>
      <x:c r="C44" s="2" t="str">
        <x:v>Ingeniería del Sur Ltda.</x:v>
      </x:c>
      <x:c r="D44" s="2" t="str">
        <x:v>96000555-4</x:v>
      </x:c>
      <x:c r="E44" s="2" t="str">
        <x:v>Alimentos Pacífico Ltda.</x:v>
      </x:c>
      <x:c r="F44" s="2" t="str">
        <x:v>factura</x:v>
      </x:c>
      <x:c r="G44" s="2" t="str">
        <x:v>21002</x:v>
      </x:c>
      <x:c r="H44" s="15" t="d">
        <x:v>2026-06-09T00:00:00.000Z</x:v>
      </x:c>
      <x:c r="I44" s="15" t="d">
        <x:v>2026-07-09T00:00:00.000Z</x:v>
      </x:c>
      <x:c r="J44" s="16" t="n">
        <x:v>1021000</x:v>
      </x:c>
      <x:c r="K44" s="2" t="str">
        <x:v>CLP</x:v>
      </x:c>
      <x:c r="L44" s="2" t="str">
        <x:v>Sí</x:v>
      </x:c>
      <x:c r="M44" s="2" t="str">
        <x:v>OC-28102</x:v>
      </x:c>
      <x:c r="N44" s="2" t="str">
        <x:v>No</x:v>
      </x:c>
      <x:c r="O44" s="2" t="str"/>
      <x:c r="P44" s="2" t="str">
        <x:v>No</x:v>
      </x:c>
      <x:c r="Q44" s="15"/>
      <x:c r="R44" s="2" t="str">
        <x:v>reclamada</x:v>
      </x:c>
      <x:c r="S44" s="2" t="str">
        <x:v>reclamada</x:v>
      </x:c>
      <x:c r="T44" s="15"/>
      <x:c r="U44" s="2" t="str">
        <x:v>documental_sii</x:v>
      </x:c>
      <x:c r="V44" s="17" t="n">
        <x:f>IF(T44&lt;&gt;"",MAX(0,T44-I44),MAX(0,DATE(2026,10,14)-I44))</x:f>
        <x:v>97</x:v>
      </x:c>
      <x:c r="W44" s="2" t="str">
        <x:f>IF(T44="","Pendiente",IF(T44&lt;=I44,"Sí","No"))</x:f>
        <x:v>Pendiente</x:v>
      </x:c>
      <x:c r="X44" s="2" t="str"/>
      <x:c r="Y44" s="2" t="str">
        <x:v>Reclamo por referencia contractual incompleta</x:v>
      </x:c>
    </x:row>
    <x:row r="45">
      <x:c r="A45" s="2" t="str">
        <x:v>FAC-2-0004</x:v>
      </x:c>
      <x:c r="B45" s="2" t="str">
        <x:v>76543210-3</x:v>
      </x:c>
      <x:c r="C45" s="2" t="str">
        <x:v>Ingeniería del Sur Ltda.</x:v>
      </x:c>
      <x:c r="D45" s="2" t="str">
        <x:v>96000666-6</x:v>
      </x:c>
      <x:c r="E45" s="2" t="str">
        <x:v>Celulosa Bosques del Sur S.A.</x:v>
      </x:c>
      <x:c r="F45" s="2" t="str">
        <x:v>factura</x:v>
      </x:c>
      <x:c r="G45" s="2" t="str">
        <x:v>21003</x:v>
      </x:c>
      <x:c r="H45" s="15" t="d">
        <x:v>2026-06-12T00:00:00.000Z</x:v>
      </x:c>
      <x:c r="I45" s="15" t="d">
        <x:v>2026-07-27T00:00:00.000Z</x:v>
      </x:c>
      <x:c r="J45" s="16" t="n">
        <x:v>1194000</x:v>
      </x:c>
      <x:c r="K45" s="2" t="str">
        <x:v>CLP</x:v>
      </x:c>
      <x:c r="L45" s="2" t="str">
        <x:v>Sí</x:v>
      </x:c>
      <x:c r="M45" s="2" t="str">
        <x:v>OC-28103</x:v>
      </x:c>
      <x:c r="N45" s="2" t="str">
        <x:v>Sí</x:v>
      </x:c>
      <x:c r="O45" s="2" t="str">
        <x:v>HES-25203</x:v>
      </x:c>
      <x:c r="P45" s="2" t="str">
        <x:v>Sí</x:v>
      </x:c>
      <x:c r="Q45" s="15" t="d">
        <x:v>2026-06-14T00:00:00.000Z</x:v>
      </x:c>
      <x:c r="R45" s="2" t="str">
        <x:v>aceptada</x:v>
      </x:c>
      <x:c r="S45" s="2" t="str">
        <x:v>disputa</x:v>
      </x:c>
      <x:c r="T45" s="15"/>
      <x:c r="U45" s="2" t="str">
        <x:v>disputa_comercial</x:v>
      </x:c>
      <x:c r="V45" s="17" t="n">
        <x:f>IF(T45&lt;&gt;"",MAX(0,T45-I45),MAX(0,DATE(2026,10,14)-I45))</x:f>
        <x:v>79</x:v>
      </x:c>
      <x:c r="W45" s="2" t="str">
        <x:f>IF(T45="","Pendiente",IF(T45&lt;=I45,"Sí","No"))</x:f>
        <x:v>Pendiente</x:v>
      </x:c>
      <x:c r="X45" s="2" t="str"/>
      <x:c r="Y45" s="2" t="str">
        <x:v>Diferencia sobre alcance del servicio; requiere intervención humana</x:v>
      </x:c>
    </x:row>
    <x:row r="46">
      <x:c r="A46" s="2" t="str">
        <x:v>FAC-2-0005</x:v>
      </x:c>
      <x:c r="B46" s="2" t="str">
        <x:v>76543210-3</x:v>
      </x:c>
      <x:c r="C46" s="2" t="str">
        <x:v>Ingeniería del Sur Ltda.</x:v>
      </x:c>
      <x:c r="D46" s="2" t="str">
        <x:v>96000777-8</x:v>
      </x:c>
      <x:c r="E46" s="2" t="str">
        <x:v>Logística Andina SpA</x:v>
      </x:c>
      <x:c r="F46" s="2" t="str">
        <x:v>factura</x:v>
      </x:c>
      <x:c r="G46" s="2" t="str">
        <x:v>21004</x:v>
      </x:c>
      <x:c r="H46" s="15" t="d">
        <x:v>2026-06-15T00:00:00.000Z</x:v>
      </x:c>
      <x:c r="I46" s="15" t="d">
        <x:v>2026-07-15T00:00:00.000Z</x:v>
      </x:c>
      <x:c r="J46" s="16" t="n">
        <x:v>1367000</x:v>
      </x:c>
      <x:c r="K46" s="2" t="str">
        <x:v>CLP</x:v>
      </x:c>
      <x:c r="L46" s="2" t="str">
        <x:v>No</x:v>
      </x:c>
      <x:c r="M46" s="2" t="str"/>
      <x:c r="N46" s="2" t="str">
        <x:v>Sí</x:v>
      </x:c>
      <x:c r="O46" s="2" t="str">
        <x:v>HES-25204</x:v>
      </x:c>
      <x:c r="P46" s="2" t="str">
        <x:v>Sí</x:v>
      </x:c>
      <x:c r="Q46" s="15" t="d">
        <x:v>2026-06-17T00:00:00.000Z</x:v>
      </x:c>
      <x:c r="R46" s="2" t="str">
        <x:v>aceptada</x:v>
      </x:c>
      <x:c r="S46" s="2" t="str">
        <x:v>pagada</x:v>
      </x:c>
      <x:c r="T46" s="15" t="d">
        <x:v>2026-08-04T00:00:00.000Z</x:v>
      </x:c>
      <x:c r="U46" s="2" t="str">
        <x:v>liquidez_pagador</x:v>
      </x:c>
      <x:c r="V46" s="17" t="n">
        <x:f>IF(T46&lt;&gt;"",MAX(0,T46-I46),MAX(0,DATE(2026,10,14)-I46))</x:f>
        <x:v>20</x:v>
      </x:c>
      <x:c r="W46" s="2" t="str">
        <x:f>IF(T46="","Pendiente",IF(T46&lt;=I46,"Sí","No"))</x:f>
        <x:v>No</x:v>
      </x:c>
      <x:c r="X46" s="2" t="str">
        <x:v>evidencias/FAC-2-0005-comprobante.pdf</x:v>
      </x:c>
      <x:c r="Y46" s="2" t="str">
        <x:v>Pagador informó restricción temporal de caja</x:v>
      </x:c>
    </x:row>
    <x:row r="47">
      <x:c r="A47" s="2" t="str">
        <x:v>FAC-2-0006</x:v>
      </x:c>
      <x:c r="B47" s="2" t="str">
        <x:v>76543210-3</x:v>
      </x:c>
      <x:c r="C47" s="2" t="str">
        <x:v>Ingeniería del Sur Ltda.</x:v>
      </x:c>
      <x:c r="D47" s="2" t="str">
        <x:v>96000111-7</x:v>
      </x:c>
      <x:c r="E47" s="2" t="str">
        <x:v>Minera Horizonte S.A.</x:v>
      </x:c>
      <x:c r="F47" s="2" t="str">
        <x:v>factura</x:v>
      </x:c>
      <x:c r="G47" s="2" t="str">
        <x:v>21005</x:v>
      </x:c>
      <x:c r="H47" s="15" t="d">
        <x:v>2026-06-18T00:00:00.000Z</x:v>
      </x:c>
      <x:c r="I47" s="15" t="d">
        <x:v>2026-08-02T00:00:00.000Z</x:v>
      </x:c>
      <x:c r="J47" s="16" t="n">
        <x:v>1540000</x:v>
      </x:c>
      <x:c r="K47" s="2" t="str">
        <x:v>CLP</x:v>
      </x:c>
      <x:c r="L47" s="2" t="str">
        <x:v>Sí</x:v>
      </x:c>
      <x:c r="M47" s="2" t="str">
        <x:v>OC-28105</x:v>
      </x:c>
      <x:c r="N47" s="2" t="str">
        <x:v>Sí</x:v>
      </x:c>
      <x:c r="O47" s="2" t="str">
        <x:v>HES-25205</x:v>
      </x:c>
      <x:c r="P47" s="2" t="str">
        <x:v>Sí</x:v>
      </x:c>
      <x:c r="Q47" s="15" t="d">
        <x:v>2026-06-20T00:00:00.000Z</x:v>
      </x:c>
      <x:c r="R47" s="2" t="str">
        <x:v>aceptada</x:v>
      </x:c>
      <x:c r="S47" s="2" t="str">
        <x:v>pagada</x:v>
      </x:c>
      <x:c r="T47" s="15" t="d">
        <x:v>2026-08-01T00:00:00.000Z</x:v>
      </x:c>
      <x:c r="U47" s="2" t="str"/>
      <x:c r="V47" s="17" t="n">
        <x:f>IF(T47&lt;&gt;"",MAX(0,T47-I47),MAX(0,DATE(2026,10,14)-I47))</x:f>
        <x:v>0</x:v>
      </x:c>
      <x:c r="W47" s="2" t="str">
        <x:f>IF(T47="","Pendiente",IF(T47&lt;=I47,"Sí","No"))</x:f>
        <x:v>Sí</x:v>
      </x:c>
      <x:c r="X47" s="2" t="str">
        <x:v>evidencias/FAC-2-0006-comprobante.pdf</x:v>
      </x:c>
      <x:c r="Y47" s="2" t="str">
        <x:v>Problema documental resuelto antes del vencimiento</x:v>
      </x:c>
    </x:row>
    <x:row r="48">
      <x:c r="A48" s="2" t="str">
        <x:v>FAC-2-0007</x:v>
      </x:c>
      <x:c r="B48" s="2" t="str">
        <x:v>76543210-3</x:v>
      </x:c>
      <x:c r="C48" s="2" t="str">
        <x:v>Ingeniería del Sur Ltda.</x:v>
      </x:c>
      <x:c r="D48" s="2" t="str">
        <x:v>96000333-0</x:v>
      </x:c>
      <x:c r="E48" s="2" t="str">
        <x:v>Energía Austral SpA</x:v>
      </x:c>
      <x:c r="F48" s="2" t="str">
        <x:v>factura</x:v>
      </x:c>
      <x:c r="G48" s="2" t="str">
        <x:v>21006</x:v>
      </x:c>
      <x:c r="H48" s="15" t="d">
        <x:v>2026-06-21T00:00:00.000Z</x:v>
      </x:c>
      <x:c r="I48" s="15" t="d">
        <x:v>2026-08-05T00:00:00.000Z</x:v>
      </x:c>
      <x:c r="J48" s="16" t="n">
        <x:v>1713000</x:v>
      </x:c>
      <x:c r="K48" s="2" t="str">
        <x:v>CLP</x:v>
      </x:c>
      <x:c r="L48" s="2" t="str">
        <x:v>Sí</x:v>
      </x:c>
      <x:c r="M48" s="2" t="str">
        <x:v>OC-28106</x:v>
      </x:c>
      <x:c r="N48" s="2" t="str">
        <x:v>Sí</x:v>
      </x:c>
      <x:c r="O48" s="2" t="str">
        <x:v>HES-25206</x:v>
      </x:c>
      <x:c r="P48" s="2" t="str">
        <x:v>Sí</x:v>
      </x:c>
      <x:c r="Q48" s="15" t="d">
        <x:v>2026-06-23T00:00:00.000Z</x:v>
      </x:c>
      <x:c r="R48" s="2" t="str">
        <x:v>aceptada</x:v>
      </x:c>
      <x:c r="S48" s="2" t="str">
        <x:v>emitida</x:v>
      </x:c>
      <x:c r="T48" s="15"/>
      <x:c r="U48" s="2" t="str">
        <x:v>proceso_interno_pagador</x:v>
      </x:c>
      <x:c r="V48" s="17" t="n">
        <x:f>IF(T48&lt;&gt;"",MAX(0,T48-I48),MAX(0,DATE(2026,10,14)-I48))</x:f>
        <x:v>70</x:v>
      </x:c>
      <x:c r="W48" s="2" t="str">
        <x:f>IF(T48="","Pendiente",IF(T48&lt;=I48,"Sí","No"))</x:f>
        <x:v>Pendiente</x:v>
      </x:c>
      <x:c r="X48" s="2" t="str"/>
      <x:c r="Y48" s="2" t="str">
        <x:v>Factura aún dentro de plazo</x:v>
      </x:c>
    </x:row>
    <x:row r="49">
      <x:c r="A49" s="2" t="str">
        <x:v>FAC-2-0008</x:v>
      </x:c>
      <x:c r="B49" s="2" t="str">
        <x:v>76543210-3</x:v>
      </x:c>
      <x:c r="C49" s="2" t="str">
        <x:v>Ingeniería del Sur Ltda.</x:v>
      </x:c>
      <x:c r="D49" s="2" t="str">
        <x:v>96000555-4</x:v>
      </x:c>
      <x:c r="E49" s="2" t="str">
        <x:v>Alimentos Pacífico Ltda.</x:v>
      </x:c>
      <x:c r="F49" s="2" t="str">
        <x:v>factura</x:v>
      </x:c>
      <x:c r="G49" s="2" t="str">
        <x:v>21007</x:v>
      </x:c>
      <x:c r="H49" s="15" t="d">
        <x:v>2026-06-24T00:00:00.000Z</x:v>
      </x:c>
      <x:c r="I49" s="15" t="d">
        <x:v>2026-07-24T00:00:00.000Z</x:v>
      </x:c>
      <x:c r="J49" s="16" t="n">
        <x:v>1886000</x:v>
      </x:c>
      <x:c r="K49" s="2" t="str">
        <x:v>CLP</x:v>
      </x:c>
      <x:c r="L49" s="2" t="str">
        <x:v>Sí</x:v>
      </x:c>
      <x:c r="M49" s="2" t="str">
        <x:v>OC-28107</x:v>
      </x:c>
      <x:c r="N49" s="2" t="str">
        <x:v>No</x:v>
      </x:c>
      <x:c r="O49" s="2" t="str"/>
      <x:c r="P49" s="2" t="str">
        <x:v>No</x:v>
      </x:c>
      <x:c r="Q49" s="15"/>
      <x:c r="R49" s="2" t="str">
        <x:v>aceptada</x:v>
      </x:c>
      <x:c r="S49" s="2" t="str">
        <x:v>pagada</x:v>
      </x:c>
      <x:c r="T49" s="15" t="d">
        <x:v>2026-07-20T00:00:00.000Z</x:v>
      </x:c>
      <x:c r="U49" s="2" t="str"/>
      <x:c r="V49" s="17" t="n">
        <x:f>IF(T49&lt;&gt;"",MAX(0,T49-I49),MAX(0,DATE(2026,10,14)-I49))</x:f>
        <x:v>0</x:v>
      </x:c>
      <x:c r="W49" s="2" t="str">
        <x:f>IF(T49="","Pendiente",IF(T49&lt;=I49,"Sí","No"))</x:f>
        <x:v>Sí</x:v>
      </x:c>
      <x:c r="X49" s="2" t="str">
        <x:v>evidencias/FAC-2-0008-comprobante.pdf</x:v>
      </x:c>
      <x:c r="Y49" s="2" t="str">
        <x:v>Pago normal</x:v>
      </x:c>
    </x:row>
    <x:row r="50">
      <x:c r="A50" s="2" t="str">
        <x:v>FAC-2-0009</x:v>
      </x:c>
      <x:c r="B50" s="2" t="str">
        <x:v>76543210-3</x:v>
      </x:c>
      <x:c r="C50" s="2" t="str">
        <x:v>Ingeniería del Sur Ltda.</x:v>
      </x:c>
      <x:c r="D50" s="2" t="str">
        <x:v>96000666-6</x:v>
      </x:c>
      <x:c r="E50" s="2" t="str">
        <x:v>Celulosa Bosques del Sur S.A.</x:v>
      </x:c>
      <x:c r="F50" s="2" t="str">
        <x:v>factura</x:v>
      </x:c>
      <x:c r="G50" s="2" t="str">
        <x:v>21008</x:v>
      </x:c>
      <x:c r="H50" s="15" t="d">
        <x:v>2026-06-27T00:00:00.000Z</x:v>
      </x:c>
      <x:c r="I50" s="15" t="d">
        <x:v>2026-08-11T00:00:00.000Z</x:v>
      </x:c>
      <x:c r="J50" s="16" t="n">
        <x:v>2059000</x:v>
      </x:c>
      <x:c r="K50" s="2" t="str">
        <x:v>CLP</x:v>
      </x:c>
      <x:c r="L50" s="2" t="str">
        <x:v>Sí</x:v>
      </x:c>
      <x:c r="M50" s="2" t="str">
        <x:v>OC-28108</x:v>
      </x:c>
      <x:c r="N50" s="2" t="str">
        <x:v>Sí</x:v>
      </x:c>
      <x:c r="O50" s="2" t="str">
        <x:v>HES-25208</x:v>
      </x:c>
      <x:c r="P50" s="2" t="str">
        <x:v>Sí</x:v>
      </x:c>
      <x:c r="Q50" s="15" t="d">
        <x:v>2026-06-29T00:00:00.000Z</x:v>
      </x:c>
      <x:c r="R50" s="2" t="str">
        <x:v>aceptada</x:v>
      </x:c>
      <x:c r="S50" s="2" t="str">
        <x:v>pagada</x:v>
      </x:c>
      <x:c r="T50" s="15" t="d">
        <x:v>2026-08-23T00:00:00.000Z</x:v>
      </x:c>
      <x:c r="U50" s="2" t="str">
        <x:v>documental_hes_conformidad</x:v>
      </x:c>
      <x:c r="V50" s="17" t="n">
        <x:f>IF(T50&lt;&gt;"",MAX(0,T50-I50),MAX(0,DATE(2026,10,14)-I50))</x:f>
        <x:v>12</x:v>
      </x:c>
      <x:c r="W50" s="2" t="str">
        <x:f>IF(T50="","Pendiente",IF(T50&lt;=I50,"Sí","No"))</x:f>
        <x:v>No</x:v>
      </x:c>
      <x:c r="X50" s="2" t="str">
        <x:v>evidencias/FAC-2-0009-comprobante.pdf</x:v>
      </x:c>
      <x:c r="Y50" s="2" t="str">
        <x:v>HES emitida después del vencimiento</x:v>
      </x:c>
    </x:row>
    <x:row r="51">
      <x:c r="A51" s="2" t="str">
        <x:v>FAC-2-0010</x:v>
      </x:c>
      <x:c r="B51" s="2" t="str">
        <x:v>76543210-3</x:v>
      </x:c>
      <x:c r="C51" s="2" t="str">
        <x:v>Ingeniería del Sur Ltda.</x:v>
      </x:c>
      <x:c r="D51" s="2" t="str">
        <x:v>96000777-8</x:v>
      </x:c>
      <x:c r="E51" s="2" t="str">
        <x:v>Logística Andina SpA</x:v>
      </x:c>
      <x:c r="F51" s="2" t="str">
        <x:v>factura</x:v>
      </x:c>
      <x:c r="G51" s="2" t="str">
        <x:v>21009</x:v>
      </x:c>
      <x:c r="H51" s="15" t="d">
        <x:v>2026-06-30T00:00:00.000Z</x:v>
      </x:c>
      <x:c r="I51" s="15" t="d">
        <x:v>2026-07-30T00:00:00.000Z</x:v>
      </x:c>
      <x:c r="J51" s="16" t="n">
        <x:v>2232000</x:v>
      </x:c>
      <x:c r="K51" s="2" t="str">
        <x:v>CLP</x:v>
      </x:c>
      <x:c r="L51" s="2" t="str">
        <x:v>No</x:v>
      </x:c>
      <x:c r="M51" s="2" t="str"/>
      <x:c r="N51" s="2" t="str">
        <x:v>Sí</x:v>
      </x:c>
      <x:c r="O51" s="2" t="str">
        <x:v>HES-25209</x:v>
      </x:c>
      <x:c r="P51" s="2" t="str">
        <x:v>Sí</x:v>
      </x:c>
      <x:c r="Q51" s="15" t="d">
        <x:v>2026-08-05T00:00:00.000Z</x:v>
      </x:c>
      <x:c r="R51" s="2" t="str">
        <x:v>aceptada</x:v>
      </x:c>
      <x:c r="S51" s="2" t="str">
        <x:v>pagada</x:v>
      </x:c>
      <x:c r="T51" s="15" t="d">
        <x:v>2026-08-07T00:00:00.000Z</x:v>
      </x:c>
      <x:c r="U51" s="2" t="str">
        <x:v>documental_portal</x:v>
      </x:c>
      <x:c r="V51" s="17" t="n">
        <x:f>IF(T51&lt;&gt;"",MAX(0,T51-I51),MAX(0,DATE(2026,10,14)-I51))</x:f>
        <x:v>8</x:v>
      </x:c>
      <x:c r="W51" s="2" t="str">
        <x:f>IF(T51="","Pendiente",IF(T51&lt;=I51,"Sí","No"))</x:f>
        <x:v>No</x:v>
      </x:c>
      <x:c r="X51" s="2" t="str">
        <x:v>evidencias/FAC-2-0010-comprobante.pdf</x:v>
      </x:c>
      <x:c r="Y51" s="2" t="str">
        <x:v>Carga en portal completada tarde</x:v>
      </x:c>
    </x:row>
    <x:row r="52">
      <x:c r="A52" s="2" t="str">
        <x:v>FAC-2-0011</x:v>
      </x:c>
      <x:c r="B52" s="2" t="str">
        <x:v>76543210-3</x:v>
      </x:c>
      <x:c r="C52" s="2" t="str">
        <x:v>Ingeniería del Sur Ltda.</x:v>
      </x:c>
      <x:c r="D52" s="2" t="str">
        <x:v>96000111-7</x:v>
      </x:c>
      <x:c r="E52" s="2" t="str">
        <x:v>Minera Horizonte S.A.</x:v>
      </x:c>
      <x:c r="F52" s="2" t="str">
        <x:v>factura</x:v>
      </x:c>
      <x:c r="G52" s="2" t="str">
        <x:v>21010</x:v>
      </x:c>
      <x:c r="H52" s="15" t="d">
        <x:v>2026-07-03T00:00:00.000Z</x:v>
      </x:c>
      <x:c r="I52" s="15" t="d">
        <x:v>2026-08-17T00:00:00.000Z</x:v>
      </x:c>
      <x:c r="J52" s="16" t="n">
        <x:v>2405000</x:v>
      </x:c>
      <x:c r="K52" s="2" t="str">
        <x:v>CLP</x:v>
      </x:c>
      <x:c r="L52" s="2" t="str">
        <x:v>Sí</x:v>
      </x:c>
      <x:c r="M52" s="2" t="str"/>
      <x:c r="N52" s="2" t="str">
        <x:v>Sí</x:v>
      </x:c>
      <x:c r="O52" s="2" t="str">
        <x:v>HES-25210</x:v>
      </x:c>
      <x:c r="P52" s="2" t="str">
        <x:v>Sí</x:v>
      </x:c>
      <x:c r="Q52" s="15" t="d">
        <x:v>2026-07-05T00:00:00.000Z</x:v>
      </x:c>
      <x:c r="R52" s="2" t="str">
        <x:v>aceptada</x:v>
      </x:c>
      <x:c r="S52" s="2" t="str">
        <x:v>emitida</x:v>
      </x:c>
      <x:c r="T52" s="15"/>
      <x:c r="U52" s="2" t="str">
        <x:v>documental_oc</x:v>
      </x:c>
      <x:c r="V52" s="17" t="n">
        <x:f>IF(T52&lt;&gt;"",MAX(0,T52-I52),MAX(0,DATE(2026,10,14)-I52))</x:f>
        <x:v>58</x:v>
      </x:c>
      <x:c r="W52" s="2" t="str">
        <x:f>IF(T52="","Pendiente",IF(T52&lt;=I52,"Sí","No"))</x:f>
        <x:v>Pendiente</x:v>
      </x:c>
      <x:c r="X52" s="2" t="str"/>
      <x:c r="Y52" s="2" t="str">
        <x:v>OC pendiente del solicitante</x:v>
      </x:c>
    </x:row>
    <x:row r="53">
      <x:c r="A53" s="2" t="str">
        <x:v>FAC-2-0012</x:v>
      </x:c>
      <x:c r="B53" s="2" t="str">
        <x:v>76543210-3</x:v>
      </x:c>
      <x:c r="C53" s="2" t="str">
        <x:v>Ingeniería del Sur Ltda.</x:v>
      </x:c>
      <x:c r="D53" s="2" t="str">
        <x:v>96000333-0</x:v>
      </x:c>
      <x:c r="E53" s="2" t="str">
        <x:v>Energía Austral SpA</x:v>
      </x:c>
      <x:c r="F53" s="2" t="str">
        <x:v>factura</x:v>
      </x:c>
      <x:c r="G53" s="2" t="str">
        <x:v>21011</x:v>
      </x:c>
      <x:c r="H53" s="15" t="d">
        <x:v>2026-07-06T00:00:00.000Z</x:v>
      </x:c>
      <x:c r="I53" s="15" t="d">
        <x:v>2026-08-20T00:00:00.000Z</x:v>
      </x:c>
      <x:c r="J53" s="16" t="n">
        <x:v>2578000</x:v>
      </x:c>
      <x:c r="K53" s="2" t="str">
        <x:v>CLP</x:v>
      </x:c>
      <x:c r="L53" s="2" t="str">
        <x:v>Sí</x:v>
      </x:c>
      <x:c r="M53" s="2" t="str">
        <x:v>OC-28111</x:v>
      </x:c>
      <x:c r="N53" s="2" t="str">
        <x:v>Sí</x:v>
      </x:c>
      <x:c r="O53" s="2" t="str">
        <x:v>HES-25211</x:v>
      </x:c>
      <x:c r="P53" s="2" t="str">
        <x:v>Sí</x:v>
      </x:c>
      <x:c r="Q53" s="15" t="d">
        <x:v>2026-07-08T00:00:00.000Z</x:v>
      </x:c>
      <x:c r="R53" s="2" t="str">
        <x:v>aceptada</x:v>
      </x:c>
      <x:c r="S53" s="2" t="str">
        <x:v>emitida</x:v>
      </x:c>
      <x:c r="T53" s="15"/>
      <x:c r="U53" s="2" t="str">
        <x:v>proceso_interno_pagador</x:v>
      </x:c>
      <x:c r="V53" s="17" t="n">
        <x:f>IF(T53&lt;&gt;"",MAX(0,T53-I53),MAX(0,DATE(2026,10,14)-I53))</x:f>
        <x:v>55</x:v>
      </x:c>
      <x:c r="W53" s="2" t="str">
        <x:f>IF(T53="","Pendiente",IF(T53&lt;=I53,"Sí","No"))</x:f>
        <x:v>Pendiente</x:v>
      </x:c>
      <x:c r="X53" s="2" t="str"/>
      <x:c r="Y53" s="2" t="str">
        <x:v>Factura aprobada y programada para el próximo ciclo</x:v>
      </x:c>
    </x:row>
    <x:row r="54">
      <x:c r="A54" s="2" t="str">
        <x:v>FAC-2-0013</x:v>
      </x:c>
      <x:c r="B54" s="2" t="str">
        <x:v>76543210-3</x:v>
      </x:c>
      <x:c r="C54" s="2" t="str">
        <x:v>Ingeniería del Sur Ltda.</x:v>
      </x:c>
      <x:c r="D54" s="2" t="str">
        <x:v>96000555-4</x:v>
      </x:c>
      <x:c r="E54" s="2" t="str">
        <x:v>Alimentos Pacífico Ltda.</x:v>
      </x:c>
      <x:c r="F54" s="2" t="str">
        <x:v>factura</x:v>
      </x:c>
      <x:c r="G54" s="2" t="str">
        <x:v>21012</x:v>
      </x:c>
      <x:c r="H54" s="15" t="d">
        <x:v>2026-07-09T00:00:00.000Z</x:v>
      </x:c>
      <x:c r="I54" s="15" t="d">
        <x:v>2026-08-08T00:00:00.000Z</x:v>
      </x:c>
      <x:c r="J54" s="16" t="n">
        <x:v>2751000</x:v>
      </x:c>
      <x:c r="K54" s="2" t="str">
        <x:v>CLP</x:v>
      </x:c>
      <x:c r="L54" s="2" t="str">
        <x:v>Sí</x:v>
      </x:c>
      <x:c r="M54" s="2" t="str">
        <x:v>OC-28112</x:v>
      </x:c>
      <x:c r="N54" s="2" t="str">
        <x:v>No</x:v>
      </x:c>
      <x:c r="O54" s="2" t="str"/>
      <x:c r="P54" s="2" t="str">
        <x:v>No</x:v>
      </x:c>
      <x:c r="Q54" s="15"/>
      <x:c r="R54" s="2" t="str">
        <x:v>reclamada</x:v>
      </x:c>
      <x:c r="S54" s="2" t="str">
        <x:v>reclamada</x:v>
      </x:c>
      <x:c r="T54" s="15"/>
      <x:c r="U54" s="2" t="str">
        <x:v>documental_sii</x:v>
      </x:c>
      <x:c r="V54" s="17" t="n">
        <x:f>IF(T54&lt;&gt;"",MAX(0,T54-I54),MAX(0,DATE(2026,10,14)-I54))</x:f>
        <x:v>67</x:v>
      </x:c>
      <x:c r="W54" s="2" t="str">
        <x:f>IF(T54="","Pendiente",IF(T54&lt;=I54,"Sí","No"))</x:f>
        <x:v>Pendiente</x:v>
      </x:c>
      <x:c r="X54" s="2" t="str"/>
      <x:c r="Y54" s="2" t="str">
        <x:v>Reclamo por referencia contractual incompleta</x:v>
      </x:c>
    </x:row>
    <x:row r="55">
      <x:c r="A55" s="2" t="str">
        <x:v>FAC-2-0014</x:v>
      </x:c>
      <x:c r="B55" s="2" t="str">
        <x:v>76543210-3</x:v>
      </x:c>
      <x:c r="C55" s="2" t="str">
        <x:v>Ingeniería del Sur Ltda.</x:v>
      </x:c>
      <x:c r="D55" s="2" t="str">
        <x:v>96000666-6</x:v>
      </x:c>
      <x:c r="E55" s="2" t="str">
        <x:v>Celulosa Bosques del Sur S.A.</x:v>
      </x:c>
      <x:c r="F55" s="2" t="str">
        <x:v>factura</x:v>
      </x:c>
      <x:c r="G55" s="2" t="str">
        <x:v>21013</x:v>
      </x:c>
      <x:c r="H55" s="15" t="d">
        <x:v>2026-07-12T00:00:00.000Z</x:v>
      </x:c>
      <x:c r="I55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/x:c>
      <x:c r="M55" s="2" t="str">
        <x:v>OC-28113</x:v>
      </x:c>
      <x:c r="N55" s="2" t="str">
        <x:v>Sí</x:v>
      </x:c>
      <x:c r="O55" s="2" t="str">
        <x:v>HES-25213</x:v>
      </x:c>
      <x:c r="P55" s="2" t="str">
        <x:v>Sí</x:v>
      </x:c>
      <x:c r="Q55" s="15" t="d">
        <x:v>2026-07-14T00:00:00.000Z</x:v>
      </x:c>
      <x:c r="R55" s="2" t="str">
        <x:v>aceptada</x:v>
      </x:c>
      <x:c r="S55" s="2" t="str">
        <x:v>disputa</x:v>
      </x:c>
      <x:c r="T55" s="15"/>
      <x:c r="U55" s="2" t="str">
        <x:v>disputa_comercial</x:v>
      </x:c>
      <x:c r="V55" s="17" t="n">
        <x:f>IF(T55&lt;&gt;"",MAX(0,T55-I55),MAX(0,DATE(2026,10,14)-I55))</x:f>
        <x:v>49</x:v>
      </x:c>
      <x:c r="W55" s="2" t="str">
        <x:f>IF(T55="","Pendiente",IF(T55&lt;=I55,"Sí","No"))</x:f>
        <x:v>Pendiente</x:v>
      </x:c>
      <x:c r="X55" s="2" t="str"/>
      <x:c r="Y55" s="2" t="str">
        <x:v>Diferencia sobre alcance del servicio; requiere intervención humana</x:v>
      </x:c>
    </x:row>
    <x:row r="56">
      <x:c r="A56" s="2" t="str">
        <x:v>FAC-2-0015</x:v>
      </x:c>
      <x:c r="B56" s="2" t="str">
        <x:v>76543210-3</x:v>
      </x:c>
      <x:c r="C56" s="2" t="str">
        <x:v>Ingeniería del Sur Ltda.</x:v>
      </x:c>
      <x:c r="D56" s="2" t="str">
        <x:v>96000777-8</x:v>
      </x:c>
      <x:c r="E56" s="2" t="str">
        <x:v>Logística Andina SpA</x:v>
      </x:c>
      <x:c r="F56" s="2" t="str">
        <x:v>factura</x:v>
      </x:c>
      <x:c r="G56" s="2" t="str">
        <x:v>21014</x:v>
      </x:c>
      <x:c r="H56" s="15" t="d">
        <x:v>2026-07-15T00:00:00.000Z</x:v>
      </x:c>
      <x:c r="I56" s="15" t="d">
        <x:v>2026-08-14T00:00:00.000Z</x:v>
      </x:c>
      <x:c r="J56" s="16" t="n">
        <x:v>3097000</x:v>
      </x:c>
      <x:c r="K56" s="2" t="str">
        <x:v>CLP</x:v>
      </x:c>
      <x:c r="L56" s="2" t="str">
        <x:v>No</x:v>
      </x:c>
      <x:c r="M56" s="2" t="str"/>
      <x:c r="N56" s="2" t="str">
        <x:v>Sí</x:v>
      </x:c>
      <x:c r="O56" s="2" t="str">
        <x:v>HES-25214</x:v>
      </x:c>
      <x:c r="P56" s="2" t="str">
        <x:v>Sí</x:v>
      </x:c>
      <x:c r="Q56" s="15" t="d">
        <x:v>2026-07-17T00:00:00.000Z</x:v>
      </x:c>
      <x:c r="R56" s="2" t="str">
        <x:v>aceptada</x:v>
      </x:c>
      <x:c r="S56" s="2" t="str">
        <x:v>pagada</x:v>
      </x:c>
      <x:c r="T56" s="15" t="d">
        <x:v>2026-09-03T00:00:00.000Z</x:v>
      </x:c>
      <x:c r="U56" s="2" t="str">
        <x:v>liquidez_pagador</x:v>
      </x:c>
      <x:c r="V56" s="17" t="n">
        <x:f>IF(T56&lt;&gt;"",MAX(0,T56-I56),MAX(0,DATE(2026,10,14)-I56))</x:f>
        <x:v>20</x:v>
      </x:c>
      <x:c r="W56" s="2" t="str">
        <x:f>IF(T56="","Pendiente",IF(T56&lt;=I56,"Sí","No"))</x:f>
        <x:v>No</x:v>
      </x:c>
      <x:c r="X56" s="2" t="str">
        <x:v>evidencias/FAC-2-0015-comprobante.pdf</x:v>
      </x:c>
      <x:c r="Y56" s="2" t="str">
        <x:v>Pagador informó restricción temporal de caja</x:v>
      </x:c>
    </x:row>
    <x:row r="57">
      <x:c r="A57" s="2" t="str">
        <x:v>FAC-2-0016</x:v>
      </x:c>
      <x:c r="B57" s="2" t="str">
        <x:v>76543210-3</x:v>
      </x:c>
      <x:c r="C57" s="2" t="str">
        <x:v>Ingeniería del Sur Ltda.</x:v>
      </x:c>
      <x:c r="D57" s="2" t="str">
        <x:v>96000111-7</x:v>
      </x:c>
      <x:c r="E57" s="2" t="str">
        <x:v>Minera Horizonte S.A.</x:v>
      </x:c>
      <x:c r="F57" s="2" t="str">
        <x:v>factura</x:v>
      </x:c>
      <x:c r="G57" s="2" t="str">
        <x:v>21015</x:v>
      </x:c>
      <x:c r="H57" s="15" t="d">
        <x:v>2026-07-18T00:00:00.000Z</x:v>
      </x:c>
      <x:c r="I57" s="15" t="d">
        <x:v>2026-09-01T00:00:00.000Z</x:v>
      </x:c>
      <x:c r="J57" s="16" t="n">
        <x:v>3270000</x:v>
      </x:c>
      <x:c r="K57" s="2" t="str">
        <x:v>CLP</x:v>
      </x:c>
      <x:c r="L57" s="2" t="str">
        <x:v>Sí</x:v>
      </x:c>
      <x:c r="M57" s="2" t="str">
        <x:v>OC-28115</x:v>
      </x:c>
      <x:c r="N57" s="2" t="str">
        <x:v>Sí</x:v>
      </x:c>
      <x:c r="O57" s="2" t="str">
        <x:v>HES-25215</x:v>
      </x:c>
      <x:c r="P57" s="2" t="str">
        <x:v>Sí</x:v>
      </x:c>
      <x:c r="Q57" s="15" t="d">
        <x:v>2026-07-20T00:00:00.000Z</x:v>
      </x:c>
      <x:c r="R57" s="2" t="str">
        <x:v>aceptada</x:v>
      </x:c>
      <x:c r="S57" s="2" t="str">
        <x:v>pagada</x:v>
      </x:c>
      <x:c r="T57" s="15" t="d">
        <x:v>2026-08-31T00:00:00.000Z</x:v>
      </x:c>
      <x:c r="U57" s="2" t="str"/>
      <x:c r="V57" s="17" t="n">
        <x:f>IF(T57&lt;&gt;"",MAX(0,T57-I57),MAX(0,DATE(2026,10,14)-I57))</x:f>
        <x:v>0</x:v>
      </x:c>
      <x:c r="W57" s="2" t="str">
        <x:f>IF(T57="","Pendiente",IF(T57&lt;=I57,"Sí","No"))</x:f>
        <x:v>Sí</x:v>
      </x:c>
      <x:c r="X57" s="2" t="str">
        <x:v>evidencias/FAC-2-0016-comprobante.pdf</x:v>
      </x:c>
      <x:c r="Y57" s="2" t="str">
        <x:v>Problema documental resuelto antes del vencimiento</x:v>
      </x:c>
    </x:row>
    <x:row r="58">
      <x:c r="A58" s="2" t="str">
        <x:v>FAC-2-0017</x:v>
      </x:c>
      <x:c r="B58" s="2" t="str">
        <x:v>76543210-3</x:v>
      </x:c>
      <x:c r="C58" s="2" t="str">
        <x:v>Ingeniería del Sur Ltda.</x:v>
      </x:c>
      <x:c r="D58" s="2" t="str">
        <x:v>96000333-0</x:v>
      </x:c>
      <x:c r="E58" s="2" t="str">
        <x:v>Energía Austral SpA</x:v>
      </x:c>
      <x:c r="F58" s="2" t="str">
        <x:v>factura</x:v>
      </x:c>
      <x:c r="G58" s="2" t="str">
        <x:v>21016</x:v>
      </x:c>
      <x:c r="H58" s="15" t="d">
        <x:v>2026-07-21T00:00:00.000Z</x:v>
      </x:c>
      <x:c r="I58" s="15" t="d">
        <x:v>2026-09-04T00:00:00.000Z</x:v>
      </x:c>
      <x:c r="J58" s="16" t="n">
        <x:v>3443000</x:v>
      </x:c>
      <x:c r="K58" s="2" t="str">
        <x:v>CLP</x:v>
      </x:c>
      <x:c r="L58" s="2" t="str">
        <x:v>Sí</x:v>
      </x:c>
      <x:c r="M58" s="2" t="str">
        <x:v>OC-28116</x:v>
      </x:c>
      <x:c r="N58" s="2" t="str">
        <x:v>Sí</x:v>
      </x:c>
      <x:c r="O58" s="2" t="str">
        <x:v>HES-25216</x:v>
      </x:c>
      <x:c r="P58" s="2" t="str">
        <x:v>Sí</x:v>
      </x:c>
      <x:c r="Q58" s="15" t="d">
        <x:v>2026-07-23T00:00:00.000Z</x:v>
      </x:c>
      <x:c r="R58" s="2" t="str">
        <x:v>aceptada</x:v>
      </x:c>
      <x:c r="S58" s="2" t="str">
        <x:v>emitida</x:v>
      </x:c>
      <x:c r="T58" s="15"/>
      <x:c r="U58" s="2" t="str">
        <x:v>proceso_interno_pagador</x:v>
      </x:c>
      <x:c r="V58" s="17" t="n">
        <x:f>IF(T58&lt;&gt;"",MAX(0,T58-I58),MAX(0,DATE(2026,10,14)-I58))</x:f>
        <x:v>40</x:v>
      </x:c>
      <x:c r="W58" s="2" t="str">
        <x:f>IF(T58="","Pendiente",IF(T58&lt;=I58,"Sí","No"))</x:f>
        <x:v>Pendiente</x:v>
      </x:c>
      <x:c r="X58" s="2" t="str"/>
      <x:c r="Y58" s="2" t="str">
        <x:v>Factura aún dentro de plazo</x:v>
      </x:c>
    </x:row>
    <x:row r="59">
      <x:c r="A59" s="2" t="str">
        <x:v>FAC-2-0018</x:v>
      </x:c>
      <x:c r="B59" s="2" t="str">
        <x:v>76543210-3</x:v>
      </x:c>
      <x:c r="C59" s="2" t="str">
        <x:v>Ingeniería del Sur Ltda.</x:v>
      </x:c>
      <x:c r="D59" s="2" t="str">
        <x:v>96000555-4</x:v>
      </x:c>
      <x:c r="E59" s="2" t="str">
        <x:v>Alimentos Pacífico Ltda.</x:v>
      </x:c>
      <x:c r="F59" s="2" t="str">
        <x:v>factura</x:v>
      </x:c>
      <x:c r="G59" s="2" t="str">
        <x:v>21017</x:v>
      </x:c>
      <x:c r="H59" s="15" t="d">
        <x:v>2026-07-24T00:00:00.000Z</x:v>
      </x:c>
      <x:c r="I59" s="15" t="d">
        <x:v>2026-08-23T00:00:00.000Z</x:v>
      </x:c>
      <x:c r="J59" s="16" t="n">
        <x:v>3616000</x:v>
      </x:c>
      <x:c r="K59" s="2" t="str">
        <x:v>CLP</x:v>
      </x:c>
      <x:c r="L59" s="2" t="str">
        <x:v>Sí</x:v>
      </x:c>
      <x:c r="M59" s="2" t="str">
        <x:v>OC-28117</x:v>
      </x:c>
      <x:c r="N59" s="2" t="str">
        <x:v>No</x:v>
      </x:c>
      <x:c r="O59" s="2" t="str"/>
      <x:c r="P59" s="2" t="str">
        <x:v>No</x:v>
      </x:c>
      <x:c r="Q59" s="15"/>
      <x:c r="R59" s="2" t="str">
        <x:v>aceptada</x:v>
      </x:c>
      <x:c r="S59" s="2" t="str">
        <x:v>pagada</x:v>
      </x:c>
      <x:c r="T59" s="15" t="d">
        <x:v>2026-08-19T00:00:00.000Z</x:v>
      </x:c>
      <x:c r="U59" s="2" t="str"/>
      <x:c r="V59" s="17" t="n">
        <x:f>IF(T59&lt;&gt;"",MAX(0,T59-I59),MAX(0,DATE(2026,10,14)-I59))</x:f>
        <x:v>0</x:v>
      </x:c>
      <x:c r="W59" s="2" t="str">
        <x:f>IF(T59="","Pendiente",IF(T59&lt;=I59,"Sí","No"))</x:f>
        <x:v>Sí</x:v>
      </x:c>
      <x:c r="X59" s="2" t="str">
        <x:v>evidencias/FAC-2-0018-comprobante.pdf</x:v>
      </x:c>
      <x:c r="Y59" s="2" t="str">
        <x:v>Pago normal</x:v>
      </x:c>
    </x:row>
    <x:row r="60">
      <x:c r="A60" s="2" t="str">
        <x:v>FAC-2-0019</x:v>
      </x:c>
      <x:c r="B60" s="2" t="str">
        <x:v>76543210-3</x:v>
      </x:c>
      <x:c r="C60" s="2" t="str">
        <x:v>Ingeniería del Sur Ltda.</x:v>
      </x:c>
      <x:c r="D60" s="2" t="str">
        <x:v>96000666-6</x:v>
      </x:c>
      <x:c r="E60" s="2" t="str">
        <x:v>Celulosa Bosques del Sur S.A.</x:v>
      </x:c>
      <x:c r="F60" s="2" t="str">
        <x:v>factura</x:v>
      </x:c>
      <x:c r="G60" s="2" t="str">
        <x:v>21018</x:v>
      </x:c>
      <x:c r="H60" s="15" t="d">
        <x:v>2026-07-27T00:00:00.000Z</x:v>
      </x:c>
      <x:c r="I60" s="15" t="d">
        <x:v>2026-09-10T00:00:00.000Z</x:v>
      </x:c>
      <x:c r="J60" s="16" t="n">
        <x:v>3789000</x:v>
      </x:c>
      <x:c r="K60" s="2" t="str">
        <x:v>CLP</x:v>
      </x:c>
      <x:c r="L60" s="2" t="str">
        <x:v>Sí</x:v>
      </x:c>
      <x:c r="M60" s="2" t="str">
        <x:v>OC-28118</x:v>
      </x:c>
      <x:c r="N60" s="2" t="str">
        <x:v>Sí</x:v>
      </x:c>
      <x:c r="O60" s="2" t="str">
        <x:v>HES-25218</x:v>
      </x:c>
      <x:c r="P60" s="2" t="str">
        <x:v>Sí</x:v>
      </x:c>
      <x:c r="Q60" s="15" t="d">
        <x:v>2026-07-29T00:00:00.000Z</x:v>
      </x:c>
      <x:c r="R60" s="2" t="str">
        <x:v>aceptada</x:v>
      </x:c>
      <x:c r="S60" s="2" t="str">
        <x:v>pagada</x:v>
      </x:c>
      <x:c r="T60" s="15" t="d">
        <x:v>2026-09-22T00:00:00.000Z</x:v>
      </x:c>
      <x:c r="U60" s="2" t="str">
        <x:v>documental_hes_conformidad</x:v>
      </x:c>
      <x:c r="V60" s="17" t="n">
        <x:f>IF(T60&lt;&gt;"",MAX(0,T60-I60),MAX(0,DATE(2026,10,14)-I60))</x:f>
        <x:v>12</x:v>
      </x:c>
      <x:c r="W60" s="2" t="str">
        <x:f>IF(T60="","Pendiente",IF(T60&lt;=I60,"Sí","No"))</x:f>
        <x:v>No</x:v>
      </x:c>
      <x:c r="X60" s="2" t="str">
        <x:v>evidencias/FAC-2-0019-comprobante.pdf</x:v>
      </x:c>
      <x:c r="Y60" s="2" t="str">
        <x:v>HES emitida después del vencimiento</x:v>
      </x:c>
    </x:row>
    <x:row r="61">
      <x:c r="A61" s="2" t="str">
        <x:v>FAC-2-0020</x:v>
      </x:c>
      <x:c r="B61" s="2" t="str">
        <x:v>76543210-3</x:v>
      </x:c>
      <x:c r="C61" s="2" t="str">
        <x:v>Ingeniería del Sur Ltda.</x:v>
      </x:c>
      <x:c r="D61" s="2" t="str">
        <x:v>96000777-8</x:v>
      </x:c>
      <x:c r="E61" s="2" t="str">
        <x:v>Logística Andina SpA</x:v>
      </x:c>
      <x:c r="F61" s="2" t="str">
        <x:v>factura</x:v>
      </x:c>
      <x:c r="G61" s="2" t="str">
        <x:v>21019</x:v>
      </x:c>
      <x:c r="H61" s="15" t="d">
        <x:v>2026-07-30T00:00:00.000Z</x:v>
      </x:c>
      <x:c r="I61" s="15" t="d">
        <x:v>2026-08-29T00:00:00.000Z</x:v>
      </x:c>
      <x:c r="J61" s="16" t="n">
        <x:v>3962000</x:v>
      </x:c>
      <x:c r="K61" s="2" t="str">
        <x:v>CLP</x:v>
      </x:c>
      <x:c r="L61" s="2" t="str">
        <x:v>No</x:v>
      </x:c>
      <x:c r="M61" s="2" t="str"/>
      <x:c r="N61" s="2" t="str">
        <x:v>Sí</x:v>
      </x:c>
      <x:c r="O61" s="2" t="str">
        <x:v>HES-25219</x:v>
      </x:c>
      <x:c r="P61" s="2" t="str">
        <x:v>Sí</x:v>
      </x:c>
      <x:c r="Q61" s="15" t="d">
        <x:v>2026-09-04T00:00:00.000Z</x:v>
      </x:c>
      <x:c r="R61" s="2" t="str">
        <x:v>aceptada</x:v>
      </x:c>
      <x:c r="S61" s="2" t="str">
        <x:v>pagada</x:v>
      </x:c>
      <x:c r="T61" s="15" t="d">
        <x:v>2026-09-06T00:00:00.000Z</x:v>
      </x:c>
      <x:c r="U61" s="2" t="str">
        <x:v>documental_portal</x:v>
      </x:c>
      <x:c r="V61" s="17" t="n">
        <x:f>IF(T61&lt;&gt;"",MAX(0,T61-I61),MAX(0,DATE(2026,10,14)-I61))</x:f>
        <x:v>8</x:v>
      </x:c>
      <x:c r="W61" s="2" t="str">
        <x:f>IF(T61="","Pendiente",IF(T61&lt;=I61,"Sí","No"))</x:f>
        <x:v>No</x:v>
      </x:c>
      <x:c r="X61" s="2" t="str">
        <x:v>evidencias/FAC-2-0020-comprobante.pdf</x:v>
      </x:c>
      <x:c r="Y61" s="2" t="str">
        <x:v>Carga en portal completada tarde</x:v>
      </x:c>
    </x:row>
    <x:row r="62">
      <x:c r="A62" s="2" t="str">
        <x:v>FAC-2-0021</x:v>
      </x:c>
      <x:c r="B62" s="2" t="str">
        <x:v>76543210-3</x:v>
      </x:c>
      <x:c r="C62" s="2" t="str">
        <x:v>Ingeniería del Sur Ltda.</x:v>
      </x:c>
      <x:c r="D62" s="2" t="str">
        <x:v>96000111-7</x:v>
      </x:c>
      <x:c r="E62" s="2" t="str">
        <x:v>Minera Horizonte S.A.</x:v>
      </x:c>
      <x:c r="F62" s="2" t="str">
        <x:v>factura</x:v>
      </x:c>
      <x:c r="G62" s="2" t="str">
        <x:v>21020</x:v>
      </x:c>
      <x:c r="H62" s="15" t="d">
        <x:v>2026-08-02T00:00:00.000Z</x:v>
      </x:c>
      <x:c r="I62" s="15" t="d">
        <x:v>2026-09-16T00:00:00.000Z</x:v>
      </x:c>
      <x:c r="J62" s="16" t="n">
        <x:v>4135000</x:v>
      </x:c>
      <x:c r="K62" s="2" t="str">
        <x:v>CLP</x:v>
      </x:c>
      <x:c r="L62" s="2" t="str">
        <x:v>Sí</x:v>
      </x:c>
      <x:c r="M62" s="2" t="str"/>
      <x:c r="N62" s="2" t="str">
        <x:v>Sí</x:v>
      </x:c>
      <x:c r="O62" s="2" t="str">
        <x:v>HES-25220</x:v>
      </x:c>
      <x:c r="P62" s="2" t="str">
        <x:v>Sí</x:v>
      </x:c>
      <x:c r="Q62" s="15" t="d">
        <x:v>2026-08-04T00:00:00.000Z</x:v>
      </x:c>
      <x:c r="R62" s="2" t="str">
        <x:v>aceptada</x:v>
      </x:c>
      <x:c r="S62" s="2" t="str">
        <x:v>emitida</x:v>
      </x:c>
      <x:c r="T62" s="15"/>
      <x:c r="U62" s="2" t="str">
        <x:v>documental_oc</x:v>
      </x:c>
      <x:c r="V62" s="17" t="n">
        <x:f>IF(T62&lt;&gt;"",MAX(0,T62-I62),MAX(0,DATE(2026,10,14)-I62))</x:f>
        <x:v>28</x:v>
      </x:c>
      <x:c r="W62" s="2" t="str">
        <x:f>IF(T62="","Pendiente",IF(T62&lt;=I62,"Sí","No"))</x:f>
        <x:v>Pendiente</x:v>
      </x:c>
      <x:c r="X62" s="2" t="str"/>
      <x:c r="Y62" s="2" t="str">
        <x:v>OC pendiente del solicitante</x:v>
      </x:c>
    </x:row>
    <x:row r="63">
      <x:c r="A63" s="2" t="str">
        <x:v>FAC-2-0022</x:v>
      </x:c>
      <x:c r="B63" s="2" t="str">
        <x:v>76543210-3</x:v>
      </x:c>
      <x:c r="C63" s="2" t="str">
        <x:v>Ingeniería del Sur Ltda.</x:v>
      </x:c>
      <x:c r="D63" s="2" t="str">
        <x:v>96000333-0</x:v>
      </x:c>
      <x:c r="E63" s="2" t="str">
        <x:v>Energía Austral SpA</x:v>
      </x:c>
      <x:c r="F63" s="2" t="str">
        <x:v>factura</x:v>
      </x:c>
      <x:c r="G63" s="2" t="str">
        <x:v>21021</x:v>
      </x:c>
      <x:c r="H63" s="15" t="d">
        <x:v>2026-08-05T00:00:00.000Z</x:v>
      </x:c>
      <x:c r="I63" s="15" t="d">
        <x:v>2026-09-19T00:00:00.000Z</x:v>
      </x:c>
      <x:c r="J63" s="16" t="n">
        <x:v>4308000</x:v>
      </x:c>
      <x:c r="K63" s="2" t="str">
        <x:v>CLP</x:v>
      </x:c>
      <x:c r="L63" s="2" t="str">
        <x:v>Sí</x:v>
      </x:c>
      <x:c r="M63" s="2" t="str">
        <x:v>OC-28121</x:v>
      </x:c>
      <x:c r="N63" s="2" t="str">
        <x:v>Sí</x:v>
      </x:c>
      <x:c r="O63" s="2" t="str">
        <x:v>HES-25221</x:v>
      </x:c>
      <x:c r="P63" s="2" t="str">
        <x:v>Sí</x:v>
      </x:c>
      <x:c r="Q63" s="15" t="d">
        <x:v>2026-08-07T00:00:00.000Z</x:v>
      </x:c>
      <x:c r="R63" s="2" t="str">
        <x:v>aceptada</x:v>
      </x:c>
      <x:c r="S63" s="2" t="str">
        <x:v>emitida</x:v>
      </x:c>
      <x:c r="T63" s="15"/>
      <x:c r="U63" s="2" t="str">
        <x:v>proceso_interno_pagador</x:v>
      </x:c>
      <x:c r="V63" s="17" t="n">
        <x:f>IF(T63&lt;&gt;"",MAX(0,T63-I63),MAX(0,DATE(2026,10,14)-I63))</x:f>
        <x:v>25</x:v>
      </x:c>
      <x:c r="W63" s="2" t="str">
        <x:f>IF(T63="","Pendiente",IF(T63&lt;=I63,"Sí","No"))</x:f>
        <x:v>Pendiente</x:v>
      </x:c>
      <x:c r="X63" s="2" t="str"/>
      <x:c r="Y63" s="2" t="str">
        <x:v>Factura aprobada y programada para el próximo ciclo</x:v>
      </x:c>
    </x:row>
    <x:row r="64">
      <x:c r="A64" s="2" t="str">
        <x:v>FAC-2-0023</x:v>
      </x:c>
      <x:c r="B64" s="2" t="str">
        <x:v>76543210-3</x:v>
      </x:c>
      <x:c r="C64" s="2" t="str">
        <x:v>Ingeniería del Sur Ltda.</x:v>
      </x:c>
      <x:c r="D64" s="2" t="str">
        <x:v>96000555-4</x:v>
      </x:c>
      <x:c r="E64" s="2" t="str">
        <x:v>Alimentos Pacífico Ltda.</x:v>
      </x:c>
      <x:c r="F64" s="2" t="str">
        <x:v>factura</x:v>
      </x:c>
      <x:c r="G64" s="2" t="str">
        <x:v>21022</x:v>
      </x:c>
      <x:c r="H64" s="15" t="d">
        <x:v>2026-08-08T00:00:00.000Z</x:v>
      </x:c>
      <x:c r="I64" s="15" t="d">
        <x:v>2026-09-07T00:00:00.000Z</x:v>
      </x:c>
      <x:c r="J64" s="16" t="n">
        <x:v>4481000</x:v>
      </x:c>
      <x:c r="K64" s="2" t="str">
        <x:v>CLP</x:v>
      </x:c>
      <x:c r="L64" s="2" t="str">
        <x:v>Sí</x:v>
      </x:c>
      <x:c r="M64" s="2" t="str">
        <x:v>OC-28122</x:v>
      </x:c>
      <x:c r="N64" s="2" t="str">
        <x:v>No</x:v>
      </x:c>
      <x:c r="O64" s="2" t="str"/>
      <x:c r="P64" s="2" t="str">
        <x:v>No</x:v>
      </x:c>
      <x:c r="Q64" s="15"/>
      <x:c r="R64" s="2" t="str">
        <x:v>reclamada</x:v>
      </x:c>
      <x:c r="S64" s="2" t="str">
        <x:v>reclamada</x:v>
      </x:c>
      <x:c r="T64" s="15"/>
      <x:c r="U64" s="2" t="str">
        <x:v>documental_sii</x:v>
      </x:c>
      <x:c r="V64" s="17" t="n">
        <x:f>IF(T64&lt;&gt;"",MAX(0,T64-I64),MAX(0,DATE(2026,10,14)-I64))</x:f>
        <x:v>37</x:v>
      </x:c>
      <x:c r="W64" s="2" t="str">
        <x:f>IF(T64="","Pendiente",IF(T64&lt;=I64,"Sí","No"))</x:f>
        <x:v>Pendiente</x:v>
      </x:c>
      <x:c r="X64" s="2" t="str"/>
      <x:c r="Y64" s="2" t="str">
        <x:v>Reclamo por referencia contractual incompleta</x:v>
      </x:c>
    </x:row>
    <x:row r="65">
      <x:c r="A65" s="2" t="str">
        <x:v>FAC-2-0024</x:v>
      </x:c>
      <x:c r="B65" s="2" t="str">
        <x:v>76543210-3</x:v>
      </x:c>
      <x:c r="C65" s="2" t="str">
        <x:v>Ingeniería del Sur Ltda.</x:v>
      </x:c>
      <x:c r="D65" s="2" t="str">
        <x:v>96000666-6</x:v>
      </x:c>
      <x:c r="E65" s="2" t="str">
        <x:v>Celulosa Bosques del Sur S.A.</x:v>
      </x:c>
      <x:c r="F65" s="2" t="str">
        <x:v>factura</x:v>
      </x:c>
      <x:c r="G65" s="2" t="str">
        <x:v>21023</x:v>
      </x:c>
      <x:c r="H65" s="15" t="d">
        <x:v>2026-08-11T00:00:00.000Z</x:v>
      </x:c>
      <x:c r="I65" s="15" t="d">
        <x:v>2026-09-25T00:00:00.000Z</x:v>
      </x:c>
      <x:c r="J65" s="16" t="n">
        <x:v>4654000</x:v>
      </x:c>
      <x:c r="K65" s="2" t="str">
        <x:v>CLP</x:v>
      </x:c>
      <x:c r="L65" s="2" t="str">
        <x:v>Sí</x:v>
      </x:c>
      <x:c r="M65" s="2" t="str">
        <x:v>OC-28123</x:v>
      </x:c>
      <x:c r="N65" s="2" t="str">
        <x:v>Sí</x:v>
      </x:c>
      <x:c r="O65" s="2" t="str">
        <x:v>HES-25223</x:v>
      </x:c>
      <x:c r="P65" s="2" t="str">
        <x:v>Sí</x:v>
      </x:c>
      <x:c r="Q65" s="15" t="d">
        <x:v>2026-08-13T00:00:00.000Z</x:v>
      </x:c>
      <x:c r="R65" s="2" t="str">
        <x:v>aceptada</x:v>
      </x:c>
      <x:c r="S65" s="2" t="str">
        <x:v>disputa</x:v>
      </x:c>
      <x:c r="T65" s="15"/>
      <x:c r="U65" s="2" t="str">
        <x:v>disputa_comercial</x:v>
      </x:c>
      <x:c r="V65" s="17" t="n">
        <x:f>IF(T65&lt;&gt;"",MAX(0,T65-I65),MAX(0,DATE(2026,10,14)-I65))</x:f>
        <x:v>19</x:v>
      </x:c>
      <x:c r="W65" s="2" t="str">
        <x:f>IF(T65="","Pendiente",IF(T65&lt;=I65,"Sí","No"))</x:f>
        <x:v>Pendiente</x:v>
      </x:c>
      <x:c r="X65" s="2" t="str"/>
      <x:c r="Y65" s="2" t="str">
        <x:v>Diferencia sobre alcance del servicio; requiere intervención humana</x:v>
      </x:c>
    </x:row>
    <x:row r="66">
      <x:c r="A66" s="2" t="str">
        <x:v>FAC-2-0025</x:v>
      </x:c>
      <x:c r="B66" s="2" t="str">
        <x:v>76543210-3</x:v>
      </x:c>
      <x:c r="C66" s="2" t="str">
        <x:v>Ingeniería del Sur Ltda.</x:v>
      </x:c>
      <x:c r="D66" s="2" t="str">
        <x:v>96000777-8</x:v>
      </x:c>
      <x:c r="E66" s="2" t="str">
        <x:v>Logística Andina SpA</x:v>
      </x:c>
      <x:c r="F66" s="2" t="str">
        <x:v>factura</x:v>
      </x:c>
      <x:c r="G66" s="2" t="str">
        <x:v>21024</x:v>
      </x:c>
      <x:c r="H66" s="15" t="d">
        <x:v>2026-08-14T00:00:00.000Z</x:v>
      </x:c>
      <x:c r="I66" s="15" t="d">
        <x:v>2026-09-13T00:00:00.000Z</x:v>
      </x:c>
      <x:c r="J66" s="16" t="n">
        <x:v>4827000</x:v>
      </x:c>
      <x:c r="K66" s="2" t="str">
        <x:v>CLP</x:v>
      </x:c>
      <x:c r="L66" s="2" t="str">
        <x:v>No</x:v>
      </x:c>
      <x:c r="M66" s="2" t="str"/>
      <x:c r="N66" s="2" t="str">
        <x:v>Sí</x:v>
      </x:c>
      <x:c r="O66" s="2" t="str">
        <x:v>HES-25224</x:v>
      </x:c>
      <x:c r="P66" s="2" t="str">
        <x:v>Sí</x:v>
      </x:c>
      <x:c r="Q66" s="15" t="d">
        <x:v>2026-08-16T00:00:00.000Z</x:v>
      </x:c>
      <x:c r="R66" s="2" t="str">
        <x:v>aceptada</x:v>
      </x:c>
      <x:c r="S66" s="2" t="str">
        <x:v>pagada</x:v>
      </x:c>
      <x:c r="T66" s="15" t="d">
        <x:v>2026-10-03T00:00:00.000Z</x:v>
      </x:c>
      <x:c r="U66" s="2" t="str">
        <x:v>liquidez_pagador</x:v>
      </x:c>
      <x:c r="V66" s="17" t="n">
        <x:f>IF(T66&lt;&gt;"",MAX(0,T66-I66),MAX(0,DATE(2026,10,14)-I66))</x:f>
        <x:v>20</x:v>
      </x:c>
      <x:c r="W66" s="2" t="str">
        <x:f>IF(T66="","Pendiente",IF(T66&lt;=I66,"Sí","No"))</x:f>
        <x:v>No</x:v>
      </x:c>
      <x:c r="X66" s="2" t="str">
        <x:v>evidencias/FAC-2-0025-comprobante.pdf</x:v>
      </x:c>
      <x:c r="Y66" s="2" t="str">
        <x:v>Pagador informó restricción temporal de caja</x:v>
      </x:c>
    </x:row>
    <x:row r="67">
      <x:c r="A67" s="2" t="str">
        <x:v>FAC-2-0026</x:v>
      </x:c>
      <x:c r="B67" s="2" t="str">
        <x:v>76543210-3</x:v>
      </x:c>
      <x:c r="C67" s="2" t="str">
        <x:v>Ingeniería del Sur Ltda.</x:v>
      </x:c>
      <x:c r="D67" s="2" t="str">
        <x:v>96000111-7</x:v>
      </x:c>
      <x:c r="E67" s="2" t="str">
        <x:v>Minera Horizonte S.A.</x:v>
      </x:c>
      <x:c r="F67" s="2" t="str">
        <x:v>factura</x:v>
      </x:c>
      <x:c r="G67" s="2" t="str">
        <x:v>21025</x:v>
      </x:c>
      <x:c r="H67" s="15" t="d">
        <x:v>2026-08-17T00:00:00.000Z</x:v>
      </x:c>
      <x:c r="I67" s="15" t="d">
        <x:v>2026-10-01T00:00:00.000Z</x:v>
      </x:c>
      <x:c r="J67" s="16" t="n">
        <x:v>5000000</x:v>
      </x:c>
      <x:c r="K67" s="2" t="str">
        <x:v>CLP</x:v>
      </x:c>
      <x:c r="L67" s="2" t="str">
        <x:v>Sí</x:v>
      </x:c>
      <x:c r="M67" s="2" t="str">
        <x:v>OC-28125</x:v>
      </x:c>
      <x:c r="N67" s="2" t="str">
        <x:v>Sí</x:v>
      </x:c>
      <x:c r="O67" s="2" t="str">
        <x:v>HES-25225</x:v>
      </x:c>
      <x:c r="P67" s="2" t="str">
        <x:v>Sí</x:v>
      </x:c>
      <x:c r="Q67" s="15" t="d">
        <x:v>2026-08-19T00:00:00.000Z</x:v>
      </x:c>
      <x:c r="R67" s="2" t="str">
        <x:v>aceptada</x:v>
      </x:c>
      <x:c r="S67" s="2" t="str">
        <x:v>pagada</x:v>
      </x:c>
      <x:c r="T67" s="15" t="d">
        <x:v>2026-09-30T00:00:00.000Z</x:v>
      </x:c>
      <x:c r="U67" s="2" t="str"/>
      <x:c r="V67" s="17" t="n">
        <x:f>IF(T67&lt;&gt;"",MAX(0,T67-I67),MAX(0,DATE(2026,10,14)-I67))</x:f>
        <x:v>0</x:v>
      </x:c>
      <x:c r="W67" s="2" t="str">
        <x:f>IF(T67="","Pendiente",IF(T67&lt;=I67,"Sí","No"))</x:f>
        <x:v>Sí</x:v>
      </x:c>
      <x:c r="X67" s="2" t="str">
        <x:v>evidencias/FAC-2-0026-comprobante.pdf</x:v>
      </x:c>
      <x:c r="Y67" s="2" t="str">
        <x:v>Problema documental resuelto antes del vencimiento</x:v>
      </x:c>
    </x:row>
    <x:row r="68">
      <x:c r="A68" s="2" t="str">
        <x:v>FAC-2-0027</x:v>
      </x:c>
      <x:c r="B68" s="2" t="str">
        <x:v>76543210-3</x:v>
      </x:c>
      <x:c r="C68" s="2" t="str">
        <x:v>Ingeniería del Sur Ltda.</x:v>
      </x:c>
      <x:c r="D68" s="2" t="str">
        <x:v>96000333-0</x:v>
      </x:c>
      <x:c r="E68" s="2" t="str">
        <x:v>Energía Austral SpA</x:v>
      </x:c>
      <x:c r="F68" s="2" t="str">
        <x:v>factura</x:v>
      </x:c>
      <x:c r="G68" s="2" t="str">
        <x:v>21026</x:v>
      </x:c>
      <x:c r="H68" s="15" t="d">
        <x:v>2026-08-20T00:00:00.000Z</x:v>
      </x:c>
      <x:c r="I68" s="15" t="d">
        <x:v>2026-10-04T00:00:00.000Z</x:v>
      </x:c>
      <x:c r="J68" s="16" t="n">
        <x:v>5173000</x:v>
      </x:c>
      <x:c r="K68" s="2" t="str">
        <x:v>CLP</x:v>
      </x:c>
      <x:c r="L68" s="2" t="str">
        <x:v>Sí</x:v>
      </x:c>
      <x:c r="M68" s="2" t="str">
        <x:v>OC-28126</x:v>
      </x:c>
      <x:c r="N68" s="2" t="str">
        <x:v>Sí</x:v>
      </x:c>
      <x:c r="O68" s="2" t="str">
        <x:v>HES-25226</x:v>
      </x:c>
      <x:c r="P68" s="2" t="str">
        <x:v>Sí</x:v>
      </x:c>
      <x:c r="Q68" s="15" t="d">
        <x:v>2026-08-22T00:00:00.000Z</x:v>
      </x:c>
      <x:c r="R68" s="2" t="str">
        <x:v>aceptada</x:v>
      </x:c>
      <x:c r="S68" s="2" t="str">
        <x:v>emitida</x:v>
      </x:c>
      <x:c r="T68" s="15"/>
      <x:c r="U68" s="2" t="str">
        <x:v>proceso_interno_pagador</x:v>
      </x:c>
      <x:c r="V68" s="17" t="n">
        <x:f>IF(T68&lt;&gt;"",MAX(0,T68-I68),MAX(0,DATE(2026,10,14)-I68))</x:f>
        <x:v>10</x:v>
      </x:c>
      <x:c r="W68" s="2" t="str">
        <x:f>IF(T68="","Pendiente",IF(T68&lt;=I68,"Sí","No"))</x:f>
        <x:v>Pendiente</x:v>
      </x:c>
      <x:c r="X68" s="2" t="str"/>
      <x:c r="Y68" s="2" t="str">
        <x:v>Factura aún dentro de plazo</x:v>
      </x:c>
    </x:row>
    <x:row r="69">
      <x:c r="A69" s="2" t="str">
        <x:v>FAC-2-0028</x:v>
      </x:c>
      <x:c r="B69" s="2" t="str">
        <x:v>76543210-3</x:v>
      </x:c>
      <x:c r="C69" s="2" t="str">
        <x:v>Ingeniería del Sur Ltda.</x:v>
      </x:c>
      <x:c r="D69" s="2" t="str">
        <x:v>96000555-4</x:v>
      </x:c>
      <x:c r="E69" s="2" t="str">
        <x:v>Alimentos Pacífico Ltda.</x:v>
      </x:c>
      <x:c r="F69" s="2" t="str">
        <x:v>factura</x:v>
      </x:c>
      <x:c r="G69" s="2" t="str">
        <x:v>21027</x:v>
      </x:c>
      <x:c r="H69" s="15" t="d">
        <x:v>2026-08-23T00:00:00.000Z</x:v>
      </x:c>
      <x:c r="I69" s="15" t="d">
        <x:v>2026-09-22T00:00:00.000Z</x:v>
      </x:c>
      <x:c r="J69" s="16" t="n">
        <x:v>5346000</x:v>
      </x:c>
      <x:c r="K69" s="2" t="str">
        <x:v>CLP</x:v>
      </x:c>
      <x:c r="L69" s="2" t="str">
        <x:v>Sí</x:v>
      </x:c>
      <x:c r="M69" s="2" t="str">
        <x:v>OC-28127</x:v>
      </x:c>
      <x:c r="N69" s="2" t="str">
        <x:v>No</x:v>
      </x:c>
      <x:c r="O69" s="2" t="str"/>
      <x:c r="P69" s="2" t="str">
        <x:v>No</x:v>
      </x:c>
      <x:c r="Q69" s="15"/>
      <x:c r="R69" s="2" t="str">
        <x:v>aceptada</x:v>
      </x:c>
      <x:c r="S69" s="2" t="str">
        <x:v>pagada</x:v>
      </x:c>
      <x:c r="T69" s="15" t="d">
        <x:v>2026-09-18T00:00:00.000Z</x:v>
      </x:c>
      <x:c r="U69" s="2" t="str"/>
      <x:c r="V69" s="17" t="n">
        <x:f>IF(T69&lt;&gt;"",MAX(0,T69-I69),MAX(0,DATE(2026,10,14)-I69))</x:f>
        <x:v>0</x:v>
      </x:c>
      <x:c r="W69" s="2" t="str">
        <x:f>IF(T69="","Pendiente",IF(T69&lt;=I69,"Sí","No"))</x:f>
        <x:v>Sí</x:v>
      </x:c>
      <x:c r="X69" s="2" t="str">
        <x:v>evidencias/FAC-2-0028-comprobante.pdf</x:v>
      </x:c>
      <x:c r="Y69" s="2" t="str">
        <x:v>Pago normal</x:v>
      </x:c>
    </x:row>
    <x:row r="70">
      <x:c r="A70" s="2" t="str">
        <x:v>FAC-2-0029</x:v>
      </x:c>
      <x:c r="B70" s="2" t="str">
        <x:v>76543210-3</x:v>
      </x:c>
      <x:c r="C70" s="2" t="str">
        <x:v>Ingeniería del Sur Ltda.</x:v>
      </x:c>
      <x:c r="D70" s="2" t="str">
        <x:v>96000666-6</x:v>
      </x:c>
      <x:c r="E70" s="2" t="str">
        <x:v>Celulosa Bosques del Sur S.A.</x:v>
      </x:c>
      <x:c r="F70" s="2" t="str">
        <x:v>factura</x:v>
      </x:c>
      <x:c r="G70" s="2" t="str">
        <x:v>21028</x:v>
      </x:c>
      <x:c r="H70" s="15" t="d">
        <x:v>2026-08-26T00:00:00.000Z</x:v>
      </x:c>
      <x:c r="I70" s="15" t="d">
        <x:v>2026-10-10T00:00:00.000Z</x:v>
      </x:c>
      <x:c r="J70" s="16" t="n">
        <x:v>5519000</x:v>
      </x:c>
      <x:c r="K70" s="2" t="str">
        <x:v>CLP</x:v>
      </x:c>
      <x:c r="L70" s="2" t="str">
        <x:v>Sí</x:v>
      </x:c>
      <x:c r="M70" s="2" t="str">
        <x:v>OC-28128</x:v>
      </x:c>
      <x:c r="N70" s="2" t="str">
        <x:v>Sí</x:v>
      </x:c>
      <x:c r="O70" s="2" t="str"/>
      <x:c r="P70" s="2" t="str">
        <x:v>Sí</x:v>
      </x:c>
      <x:c r="Q70" s="15" t="d">
        <x:v>2026-08-28T00:00:00.000Z</x:v>
      </x:c>
      <x:c r="R70" s="2" t="str">
        <x:v>aceptada</x:v>
      </x:c>
      <x:c r="S70" s="2" t="str">
        <x:v>emitida</x:v>
      </x:c>
      <x:c r="T70" s="15"/>
      <x:c r="U70" s="2" t="str">
        <x:v>documental_hes_conformidad</x:v>
      </x:c>
      <x:c r="V70" s="17" t="n">
        <x:f>IF(T70&lt;&gt;"",MAX(0,T70-I70),MAX(0,DATE(2026,10,14)-I70))</x:f>
        <x:v>4</x:v>
      </x:c>
      <x:c r="W70" s="2" t="str">
        <x:f>IF(T70="","Pendiente",IF(T70&lt;=I70,"Sí","No"))</x:f>
        <x:v>Pendiente</x:v>
      </x:c>
      <x:c r="X70" s="2" t="str"/>
      <x:c r="Y70" s="2" t="str">
        <x:v>Caso abierto; fecha proyectada posterior a la fecha de corte</x:v>
      </x:c>
    </x:row>
    <x:row r="71">
      <x:c r="A71" s="2" t="str">
        <x:v>FAC-2-0030</x:v>
      </x:c>
      <x:c r="B71" s="2" t="str">
        <x:v>76543210-3</x:v>
      </x:c>
      <x:c r="C71" s="2" t="str">
        <x:v>Ingeniería del Sur Ltda.</x:v>
      </x:c>
      <x:c r="D71" s="2" t="str">
        <x:v>96000777-8</x:v>
      </x:c>
      <x:c r="E71" s="2" t="str">
        <x:v>Logística Andina SpA</x:v>
      </x:c>
      <x:c r="F71" s="2" t="str">
        <x:v>factura</x:v>
      </x:c>
      <x:c r="G71" s="2" t="str">
        <x:v>21029</x:v>
      </x:c>
      <x:c r="H71" s="15" t="d">
        <x:v>2026-08-29T00:00:00.000Z</x:v>
      </x:c>
      <x:c r="I71" s="15" t="d">
        <x:v>2026-09-28T00:00:00.000Z</x:v>
      </x:c>
      <x:c r="J71" s="16" t="n">
        <x:v>5692000</x:v>
      </x:c>
      <x:c r="K71" s="2" t="str">
        <x:v>CLP</x:v>
      </x:c>
      <x:c r="L71" s="2" t="str">
        <x:v>No</x:v>
      </x:c>
      <x:c r="M71" s="2" t="str"/>
      <x:c r="N71" s="2" t="str">
        <x:v>Sí</x:v>
      </x:c>
      <x:c r="O71" s="2" t="str">
        <x:v>HES-25229</x:v>
      </x:c>
      <x:c r="P71" s="2" t="str">
        <x:v>Sí</x:v>
      </x:c>
      <x:c r="Q71" s="15" t="d">
        <x:v>2026-10-04T00:00:00.000Z</x:v>
      </x:c>
      <x:c r="R71" s="2" t="str">
        <x:v>aceptada</x:v>
      </x:c>
      <x:c r="S71" s="2" t="str">
        <x:v>pagada</x:v>
      </x:c>
      <x:c r="T71" s="15" t="d">
        <x:v>2026-10-06T00:00:00.000Z</x:v>
      </x:c>
      <x:c r="U71" s="2" t="str">
        <x:v>documental_portal</x:v>
      </x:c>
      <x:c r="V71" s="17" t="n">
        <x:f>IF(T71&lt;&gt;"",MAX(0,T71-I71),MAX(0,DATE(2026,10,14)-I71))</x:f>
        <x:v>8</x:v>
      </x:c>
      <x:c r="W71" s="2" t="str">
        <x:f>IF(T71="","Pendiente",IF(T71&lt;=I71,"Sí","No"))</x:f>
        <x:v>No</x:v>
      </x:c>
      <x:c r="X71" s="2" t="str">
        <x:v>evidencias/FAC-2-0030-comprobante.pdf</x:v>
      </x:c>
      <x:c r="Y71" s="2" t="str">
        <x:v>Carga en portal completada tarde</x:v>
      </x:c>
    </x:row>
    <x:row r="72">
      <x:c r="A72" s="2" t="str">
        <x:v>FAC-2-0031</x:v>
      </x:c>
      <x:c r="B72" s="2" t="str">
        <x:v>76543210-3</x:v>
      </x:c>
      <x:c r="C72" s="2" t="str">
        <x:v>Ingeniería del Sur Ltda.</x:v>
      </x:c>
      <x:c r="D72" s="2" t="str">
        <x:v>96000111-7</x:v>
      </x:c>
      <x:c r="E72" s="2" t="str">
        <x:v>Minera Horizonte S.A.</x:v>
      </x:c>
      <x:c r="F72" s="2" t="str">
        <x:v>factura</x:v>
      </x:c>
      <x:c r="G72" s="2" t="str">
        <x:v>21030</x:v>
      </x:c>
      <x:c r="H72" s="15" t="d">
        <x:v>2026-09-01T00:00:00.000Z</x:v>
      </x:c>
      <x:c r="I72" s="15" t="d">
        <x:v>2026-10-16T00:00:00.000Z</x:v>
      </x:c>
      <x:c r="J72" s="16" t="n">
        <x:v>465000</x:v>
      </x:c>
      <x:c r="K72" s="2" t="str">
        <x:v>CLP</x:v>
      </x:c>
      <x:c r="L72" s="2" t="str">
        <x:v>Sí</x:v>
      </x:c>
      <x:c r="M72" s="2" t="str"/>
      <x:c r="N72" s="2" t="str">
        <x:v>Sí</x:v>
      </x:c>
      <x:c r="O72" s="2" t="str">
        <x:v>HES-25230</x:v>
      </x:c>
      <x:c r="P72" s="2" t="str">
        <x:v>Sí</x:v>
      </x:c>
      <x:c r="Q72" s="15" t="d">
        <x:v>2026-09-03T00:00:00.000Z</x:v>
      </x:c>
      <x:c r="R72" s="2" t="str">
        <x:v>aceptada</x:v>
      </x:c>
      <x:c r="S72" s="2" t="str">
        <x:v>emitida</x:v>
      </x:c>
      <x:c r="T72" s="15"/>
      <x:c r="U72" s="2" t="str"/>
      <x:c r="V72" s="17" t="n">
        <x:f>IF(T72&lt;&gt;"",MAX(0,T72-I72),MAX(0,DATE(2026,10,14)-I72))</x:f>
        <x:v>0</x:v>
      </x:c>
      <x:c r="W72" s="2" t="str">
        <x:f>IF(T72="","Pendiente",IF(T72&lt;=I72,"Sí","No"))</x:f>
        <x:v>Pendiente</x:v>
      </x:c>
      <x:c r="X72" s="2" t="str"/>
      <x:c r="Y72" s="2" t="str">
        <x:v>OC pendiente del solicitante</x:v>
      </x:c>
    </x:row>
    <x:row r="73">
      <x:c r="A73" s="2" t="str">
        <x:v>FAC-2-0032</x:v>
      </x:c>
      <x:c r="B73" s="2" t="str">
        <x:v>76543210-3</x:v>
      </x:c>
      <x:c r="C73" s="2" t="str">
        <x:v>Ingeniería del Sur Ltda.</x:v>
      </x:c>
      <x:c r="D73" s="2" t="str">
        <x:v>96000333-0</x:v>
      </x:c>
      <x:c r="E73" s="2" t="str">
        <x:v>Energía Austral SpA</x:v>
      </x:c>
      <x:c r="F73" s="2" t="str">
        <x:v>factura</x:v>
      </x:c>
      <x:c r="G73" s="2" t="str">
        <x:v>21031</x:v>
      </x:c>
      <x:c r="H73" s="15" t="d">
        <x:v>2026-09-04T00:00:00.000Z</x:v>
      </x:c>
      <x:c r="I73" s="15" t="d">
        <x:v>2026-10-19T00:00:00.000Z</x:v>
      </x:c>
      <x:c r="J73" s="16" t="n">
        <x:v>638000</x:v>
      </x:c>
      <x:c r="K73" s="2" t="str">
        <x:v>CLP</x:v>
      </x:c>
      <x:c r="L73" s="2" t="str">
        <x:v>Sí</x:v>
      </x:c>
      <x:c r="M73" s="2" t="str">
        <x:v>OC-28131</x:v>
      </x:c>
      <x:c r="N73" s="2" t="str">
        <x:v>Sí</x:v>
      </x:c>
      <x:c r="O73" s="2" t="str">
        <x:v>HES-25231</x:v>
      </x:c>
      <x:c r="P73" s="2" t="str">
        <x:v>Sí</x:v>
      </x:c>
      <x:c r="Q73" s="15" t="d">
        <x:v>2026-09-06T00:00:00.000Z</x:v>
      </x:c>
      <x:c r="R73" s="2" t="str">
        <x:v>aceptada</x:v>
      </x:c>
      <x:c r="S73" s="2" t="str">
        <x:v>emitida</x:v>
      </x:c>
      <x:c r="T73" s="15"/>
      <x:c r="U73" s="2" t="str"/>
      <x:c r="V73" s="17" t="n">
        <x:f>IF(T73&lt;&gt;"",MAX(0,T73-I73),MAX(0,DATE(2026,10,14)-I73))</x:f>
        <x:v>0</x:v>
      </x:c>
      <x:c r="W73" s="2" t="str">
        <x:f>IF(T73="","Pendiente",IF(T73&lt;=I73,"Sí","No"))</x:f>
        <x:v>Pendiente</x:v>
      </x:c>
      <x:c r="X73" s="2" t="str"/>
      <x:c r="Y73" s="2" t="str">
        <x:v>Factura aprobada y programada para el próximo ciclo</x:v>
      </x:c>
    </x:row>
    <x:row r="74">
      <x:c r="A74" s="2" t="str">
        <x:v>FAC-2-0033</x:v>
      </x:c>
      <x:c r="B74" s="2" t="str">
        <x:v>76543210-3</x:v>
      </x:c>
      <x:c r="C74" s="2" t="str">
        <x:v>Ingeniería del Sur Ltda.</x:v>
      </x:c>
      <x:c r="D74" s="2" t="str">
        <x:v>96000555-4</x:v>
      </x:c>
      <x:c r="E74" s="2" t="str">
        <x:v>Alimentos Pacífico Ltda.</x:v>
      </x:c>
      <x:c r="F74" s="2" t="str">
        <x:v>factura</x:v>
      </x:c>
      <x:c r="G74" s="2" t="str">
        <x:v>21032</x:v>
      </x:c>
      <x:c r="H74" s="15" t="d">
        <x:v>2026-09-07T00:00:00.000Z</x:v>
      </x:c>
      <x:c r="I74" s="15" t="d">
        <x:v>2026-10-07T00:00:00.000Z</x:v>
      </x:c>
      <x:c r="J74" s="16" t="n">
        <x:v>811000</x:v>
      </x:c>
      <x:c r="K74" s="2" t="str">
        <x:v>CLP</x:v>
      </x:c>
      <x:c r="L74" s="2" t="str">
        <x:v>Sí</x:v>
      </x:c>
      <x:c r="M74" s="2" t="str">
        <x:v>OC-28132</x:v>
      </x:c>
      <x:c r="N74" s="2" t="str">
        <x:v>No</x:v>
      </x:c>
      <x:c r="O74" s="2" t="str"/>
      <x:c r="P74" s="2" t="str">
        <x:v>No</x:v>
      </x:c>
      <x:c r="Q74" s="15"/>
      <x:c r="R74" s="2" t="str">
        <x:v>reclamada</x:v>
      </x:c>
      <x:c r="S74" s="2" t="str">
        <x:v>reclamada</x:v>
      </x:c>
      <x:c r="T74" s="15"/>
      <x:c r="U74" s="2" t="str">
        <x:v>documental_sii</x:v>
      </x:c>
      <x:c r="V74" s="17" t="n">
        <x:f>IF(T74&lt;&gt;"",MAX(0,T74-I74),MAX(0,DATE(2026,10,14)-I74))</x:f>
        <x:v>7</x:v>
      </x:c>
      <x:c r="W74" s="2" t="str">
        <x:f>IF(T74="","Pendiente",IF(T74&lt;=I74,"Sí","No"))</x:f>
        <x:v>Pendiente</x:v>
      </x:c>
      <x:c r="X74" s="2" t="str"/>
      <x:c r="Y74" s="2" t="str">
        <x:v>Reclamo por referencia contractual incompleta</x:v>
      </x:c>
    </x:row>
    <x:row r="75">
      <x:c r="A75" s="2" t="str">
        <x:v>FAC-2-0034</x:v>
      </x:c>
      <x:c r="B75" s="2" t="str">
        <x:v>76543210-3</x:v>
      </x:c>
      <x:c r="C75" s="2" t="str">
        <x:v>Ingeniería del Sur Ltda.</x:v>
      </x:c>
      <x:c r="D75" s="2" t="str">
        <x:v>96000666-6</x:v>
      </x:c>
      <x:c r="E75" s="2" t="str">
        <x:v>Celulosa Bosques del Sur S.A.</x:v>
      </x:c>
      <x:c r="F75" s="2" t="str">
        <x:v>factura</x:v>
      </x:c>
      <x:c r="G75" s="2" t="str">
        <x:v>21033</x:v>
      </x:c>
      <x:c r="H75" s="15" t="d">
        <x:v>2026-09-10T00:00:00.000Z</x:v>
      </x:c>
      <x:c r="I75" s="15" t="d">
        <x:v>2026-10-25T00:00:00.000Z</x:v>
      </x:c>
      <x:c r="J75" s="16" t="n">
        <x:v>984000</x:v>
      </x:c>
      <x:c r="K75" s="2" t="str">
        <x:v>CLP</x:v>
      </x:c>
      <x:c r="L75" s="2" t="str">
        <x:v>Sí</x:v>
      </x:c>
      <x:c r="M75" s="2" t="str">
        <x:v>OC-28133</x:v>
      </x:c>
      <x:c r="N75" s="2" t="str">
        <x:v>Sí</x:v>
      </x:c>
      <x:c r="O75" s="2" t="str">
        <x:v>HES-25233</x:v>
      </x:c>
      <x:c r="P75" s="2" t="str">
        <x:v>Sí</x:v>
      </x:c>
      <x:c r="Q75" s="15" t="d">
        <x:v>2026-09-12T00:00:00.000Z</x:v>
      </x:c>
      <x:c r="R75" s="2" t="str">
        <x:v>aceptada</x:v>
      </x:c>
      <x:c r="S75" s="2" t="str">
        <x:v>disputa</x:v>
      </x:c>
      <x:c r="T75" s="15"/>
      <x:c r="U75" s="2" t="str">
        <x:v>disputa_comercial</x:v>
      </x:c>
      <x:c r="V75" s="17" t="n">
        <x:f>IF(T75&lt;&gt;"",MAX(0,T75-I75),MAX(0,DATE(2026,10,14)-I75))</x:f>
        <x:v>0</x:v>
      </x:c>
      <x:c r="W75" s="2" t="str">
        <x:f>IF(T75="","Pendiente",IF(T75&lt;=I75,"Sí","No"))</x:f>
        <x:v>Pendiente</x:v>
      </x:c>
      <x:c r="X75" s="2" t="str"/>
      <x:c r="Y75" s="2" t="str">
        <x:v>Diferencia sobre alcance del servicio; requiere intervención humana</x:v>
      </x:c>
    </x:row>
    <x:row r="76">
      <x:c r="A76" s="2" t="str">
        <x:v>FAC-2-0035</x:v>
      </x:c>
      <x:c r="B76" s="2" t="str">
        <x:v>76543210-3</x:v>
      </x:c>
      <x:c r="C76" s="2" t="str">
        <x:v>Ingeniería del Sur Ltda.</x:v>
      </x:c>
      <x:c r="D76" s="2" t="str">
        <x:v>96000777-8</x:v>
      </x:c>
      <x:c r="E76" s="2" t="str">
        <x:v>Logística Andina SpA</x:v>
      </x:c>
      <x:c r="F76" s="2" t="str">
        <x:v>factura</x:v>
      </x:c>
      <x:c r="G76" s="2" t="str">
        <x:v>21034</x:v>
      </x:c>
      <x:c r="H76" s="15" t="d">
        <x:v>2026-09-13T00:00:00.000Z</x:v>
      </x:c>
      <x:c r="I76" s="15" t="d">
        <x:v>2026-10-13T00:00:00.000Z</x:v>
      </x:c>
      <x:c r="J76" s="16" t="n">
        <x:v>1157000</x:v>
      </x:c>
      <x:c r="K76" s="2" t="str">
        <x:v>CLP</x:v>
      </x:c>
      <x:c r="L76" s="2" t="str">
        <x:v>No</x:v>
      </x:c>
      <x:c r="M76" s="2" t="str"/>
      <x:c r="N76" s="2" t="str">
        <x:v>Sí</x:v>
      </x:c>
      <x:c r="O76" s="2" t="str">
        <x:v>HES-25234</x:v>
      </x:c>
      <x:c r="P76" s="2" t="str">
        <x:v>Sí</x:v>
      </x:c>
      <x:c r="Q76" s="15" t="d">
        <x:v>2026-09-15T00:00:00.000Z</x:v>
      </x:c>
      <x:c r="R76" s="2" t="str">
        <x:v>aceptada</x:v>
      </x:c>
      <x:c r="S76" s="2" t="str">
        <x:v>emitida</x:v>
      </x:c>
      <x:c r="T76" s="15"/>
      <x:c r="U76" s="2" t="str">
        <x:v>liquidez_pagador</x:v>
      </x:c>
      <x:c r="V76" s="17" t="n">
        <x:f>IF(T76&lt;&gt;"",MAX(0,T76-I76),MAX(0,DATE(2026,10,14)-I76))</x:f>
        <x:v>1</x:v>
      </x:c>
      <x:c r="W76" s="2" t="str">
        <x:f>IF(T76="","Pendiente",IF(T76&lt;=I76,"Sí","No"))</x:f>
        <x:v>Pendiente</x:v>
      </x:c>
      <x:c r="X76" s="2" t="str"/>
      <x:c r="Y76" s="2" t="str">
        <x:v>Caso abierto; fecha proyectada posterior a la fecha de corte</x:v>
      </x:c>
    </x:row>
    <x:row r="77">
      <x:c r="A77" s="2" t="str">
        <x:v>FAC-2-0036</x:v>
      </x:c>
      <x:c r="B77" s="2" t="str">
        <x:v>76543210-3</x:v>
      </x:c>
      <x:c r="C77" s="2" t="str">
        <x:v>Ingeniería del Sur Ltda.</x:v>
      </x:c>
      <x:c r="D77" s="2" t="str">
        <x:v>96000111-7</x:v>
      </x:c>
      <x:c r="E77" s="2" t="str">
        <x:v>Minera Horizonte S.A.</x:v>
      </x:c>
      <x:c r="F77" s="2" t="str">
        <x:v>factura</x:v>
      </x:c>
      <x:c r="G77" s="2" t="str">
        <x:v>21035</x:v>
      </x:c>
      <x:c r="H77" s="15" t="d">
        <x:v>2026-09-16T00:00:00.000Z</x:v>
      </x:c>
      <x:c r="I77" s="15" t="d">
        <x:v>2026-10-31T00:00:00.000Z</x:v>
      </x:c>
      <x:c r="J77" s="16" t="n">
        <x:v>1330000</x:v>
      </x:c>
      <x:c r="K77" s="2" t="str">
        <x:v>CLP</x:v>
      </x:c>
      <x:c r="L77" s="2" t="str">
        <x:v>Sí</x:v>
      </x:c>
      <x:c r="M77" s="2" t="str">
        <x:v>OC-28135</x:v>
      </x:c>
      <x:c r="N77" s="2" t="str">
        <x:v>Sí</x:v>
      </x:c>
      <x:c r="O77" s="2" t="str">
        <x:v>HES-25235</x:v>
      </x:c>
      <x:c r="P77" s="2" t="str">
        <x:v>Sí</x:v>
      </x:c>
      <x:c r="Q77" s="15" t="d">
        <x:v>2026-09-18T00:00:00.000Z</x:v>
      </x:c>
      <x:c r="R77" s="2" t="str">
        <x:v>aceptada</x:v>
      </x:c>
      <x:c r="S77" s="2" t="str">
        <x:v>emitida</x:v>
      </x:c>
      <x:c r="T77" s="15"/>
      <x:c r="U77" s="2" t="str"/>
      <x:c r="V77" s="17" t="n">
        <x:f>IF(T77&lt;&gt;"",MAX(0,T77-I77),MAX(0,DATE(2026,10,14)-I77))</x:f>
        <x:v>0</x:v>
      </x:c>
      <x:c r="W77" s="2" t="str">
        <x:f>IF(T77="","Pendiente",IF(T77&lt;=I77,"Sí","No"))</x:f>
        <x:v>Pendiente</x:v>
      </x:c>
      <x:c r="X77" s="2" t="str"/>
      <x:c r="Y77" s="2" t="str"/>
    </x:row>
    <x:row r="78">
      <x:c r="A78" s="2" t="str">
        <x:v>FAC-2-0037</x:v>
      </x:c>
      <x:c r="B78" s="2" t="str">
        <x:v>76543210-3</x:v>
      </x:c>
      <x:c r="C78" s="2" t="str">
        <x:v>Ingeniería del Sur Ltda.</x:v>
      </x:c>
      <x:c r="D78" s="2" t="str">
        <x:v>96000333-0</x:v>
      </x:c>
      <x:c r="E78" s="2" t="str">
        <x:v>Energía Austral SpA</x:v>
      </x:c>
      <x:c r="F78" s="2" t="str">
        <x:v>factura</x:v>
      </x:c>
      <x:c r="G78" s="2" t="str">
        <x:v>21036</x:v>
      </x:c>
      <x:c r="H78" s="15" t="d">
        <x:v>2026-09-19T00:00:00.000Z</x:v>
      </x:c>
      <x:c r="I78" s="15" t="d">
        <x:v>2026-11-03T00:00:00.000Z</x:v>
      </x:c>
      <x:c r="J78" s="16" t="n">
        <x:v>1503000</x:v>
      </x:c>
      <x:c r="K78" s="2" t="str">
        <x:v>CLP</x:v>
      </x:c>
      <x:c r="L78" s="2" t="str">
        <x:v>Sí</x:v>
      </x:c>
      <x:c r="M78" s="2" t="str">
        <x:v>OC-28136</x:v>
      </x:c>
      <x:c r="N78" s="2" t="str">
        <x:v>Sí</x:v>
      </x:c>
      <x:c r="O78" s="2" t="str">
        <x:v>HES-25236</x:v>
      </x:c>
      <x:c r="P78" s="2" t="str">
        <x:v>Sí</x:v>
      </x:c>
      <x:c r="Q78" s="15" t="d">
        <x:v>2026-09-21T00:00:00.000Z</x:v>
      </x:c>
      <x:c r="R78" s="2" t="str">
        <x:v>aceptada</x:v>
      </x:c>
      <x:c r="S78" s="2" t="str">
        <x:v>emitida</x:v>
      </x:c>
      <x:c r="T78" s="15"/>
      <x:c r="U78" s="2" t="str"/>
      <x:c r="V78" s="17" t="n">
        <x:f>IF(T78&lt;&gt;"",MAX(0,T78-I78),MAX(0,DATE(2026,10,14)-I78))</x:f>
        <x:v>0</x:v>
      </x:c>
      <x:c r="W78" s="2" t="str">
        <x:f>IF(T78="","Pendiente",IF(T78&lt;=I78,"Sí","No"))</x:f>
        <x:v>Pendiente</x:v>
      </x:c>
      <x:c r="X78" s="2" t="str"/>
      <x:c r="Y78" s="2" t="str">
        <x:v>Factura aún dentro de plazo</x:v>
      </x:c>
    </x:row>
    <x:row r="79">
      <x:c r="A79" s="2" t="str">
        <x:v>FAC-2-0038</x:v>
      </x:c>
      <x:c r="B79" s="2" t="str">
        <x:v>76543210-3</x:v>
      </x:c>
      <x:c r="C79" s="2" t="str">
        <x:v>Ingeniería del Sur Ltda.</x:v>
      </x:c>
      <x:c r="D79" s="2" t="str">
        <x:v>96000555-4</x:v>
      </x:c>
      <x:c r="E79" s="2" t="str">
        <x:v>Alimentos Pacífico Ltda.</x:v>
      </x:c>
      <x:c r="F79" s="2" t="str">
        <x:v>factura</x:v>
      </x:c>
      <x:c r="G79" s="2" t="str">
        <x:v>21037</x:v>
      </x:c>
      <x:c r="H79" s="15" t="d">
        <x:v>2026-09-22T00:00:00.000Z</x:v>
      </x:c>
      <x:c r="I79" s="15" t="d">
        <x:v>2026-10-22T00:00:00.000Z</x:v>
      </x:c>
      <x:c r="J79" s="16" t="n">
        <x:v>1676000</x:v>
      </x:c>
      <x:c r="K79" s="2" t="str">
        <x:v>CLP</x:v>
      </x:c>
      <x:c r="L79" s="2" t="str">
        <x:v>Sí</x:v>
      </x:c>
      <x:c r="M79" s="2" t="str">
        <x:v>OC-28137</x:v>
      </x:c>
      <x:c r="N79" s="2" t="str">
        <x:v>No</x:v>
      </x:c>
      <x:c r="O79" s="2" t="str"/>
      <x:c r="P79" s="2" t="str">
        <x:v>No</x:v>
      </x:c>
      <x:c r="Q79" s="15"/>
      <x:c r="R79" s="2" t="str">
        <x:v>aceptada</x:v>
      </x:c>
      <x:c r="S79" s="2" t="str">
        <x:v>emitida</x:v>
      </x:c>
      <x:c r="T79" s="15"/>
      <x:c r="U79" s="2" t="str"/>
      <x:c r="V79" s="17" t="n">
        <x:f>IF(T79&lt;&gt;"",MAX(0,T79-I79),MAX(0,DATE(2026,10,14)-I79))</x:f>
        <x:v>0</x:v>
      </x:c>
      <x:c r="W79" s="2" t="str">
        <x:f>IF(T79="","Pendiente",IF(T79&lt;=I79,"Sí","No"))</x:f>
        <x:v>Pendiente</x:v>
      </x:c>
      <x:c r="X79" s="2" t="str"/>
      <x:c r="Y79" s="2" t="str"/>
    </x:row>
    <x:row r="80">
      <x:c r="A80" s="2" t="str">
        <x:v>FAC-2-0039</x:v>
      </x:c>
      <x:c r="B80" s="2" t="str">
        <x:v>76543210-3</x:v>
      </x:c>
      <x:c r="C80" s="2" t="str">
        <x:v>Ingeniería del Sur Ltda.</x:v>
      </x:c>
      <x:c r="D80" s="2" t="str">
        <x:v>96000666-6</x:v>
      </x:c>
      <x:c r="E80" s="2" t="str">
        <x:v>Celulosa Bosques del Sur S.A.</x:v>
      </x:c>
      <x:c r="F80" s="2" t="str">
        <x:v>factura</x:v>
      </x:c>
      <x:c r="G80" s="2" t="str">
        <x:v>21038</x:v>
      </x:c>
      <x:c r="H80" s="15" t="d">
        <x:v>2026-09-25T00:00:00.000Z</x:v>
      </x:c>
      <x:c r="I80" s="15" t="d">
        <x:v>2026-11-09T00:00:00.000Z</x:v>
      </x:c>
      <x:c r="J80" s="16" t="n">
        <x:v>1849000</x:v>
      </x:c>
      <x:c r="K80" s="2" t="str">
        <x:v>CLP</x:v>
      </x:c>
      <x:c r="L80" s="2" t="str">
        <x:v>Sí</x:v>
      </x:c>
      <x:c r="M80" s="2" t="str">
        <x:v>OC-28138</x:v>
      </x:c>
      <x:c r="N80" s="2" t="str">
        <x:v>Sí</x:v>
      </x:c>
      <x:c r="O80" s="2" t="str"/>
      <x:c r="P80" s="2" t="str">
        <x:v>Sí</x:v>
      </x:c>
      <x:c r="Q80" s="15" t="d">
        <x:v>2026-09-27T00:00:00.000Z</x:v>
      </x:c>
      <x:c r="R80" s="2" t="str">
        <x:v>aceptada</x:v>
      </x:c>
      <x:c r="S80" s="2" t="str">
        <x:v>emitida</x:v>
      </x:c>
      <x:c r="T80" s="15"/>
      <x:c r="U80" s="2" t="str">
        <x:v>documental_hes_conformidad</x:v>
      </x:c>
      <x:c r="V80" s="17" t="n">
        <x:f>IF(T80&lt;&gt;"",MAX(0,T80-I80),MAX(0,DATE(2026,10,14)-I80))</x:f>
        <x:v>0</x:v>
      </x:c>
      <x:c r="W80" s="2" t="str">
        <x:f>IF(T80="","Pendiente",IF(T80&lt;=I80,"Sí","No"))</x:f>
        <x:v>Pendiente</x:v>
      </x:c>
      <x:c r="X80" s="2" t="str"/>
      <x:c r="Y80" s="2" t="str">
        <x:v>Caso abierto; fecha proyectada posterior a la fecha de corte</x:v>
      </x:c>
    </x:row>
    <x:row r="81">
      <x:c r="A81" s="2" t="str">
        <x:v>FAC-2-0040</x:v>
      </x:c>
      <x:c r="B81" s="2" t="str">
        <x:v>76543210-3</x:v>
      </x:c>
      <x:c r="C81" s="2" t="str">
        <x:v>Ingeniería del Sur Ltda.</x:v>
      </x:c>
      <x:c r="D81" s="2" t="str">
        <x:v>96000777-8</x:v>
      </x:c>
      <x:c r="E81" s="2" t="str">
        <x:v>Logística Andina SpA</x:v>
      </x:c>
      <x:c r="F81" s="2" t="str">
        <x:v>factura</x:v>
      </x:c>
      <x:c r="G81" s="2" t="str">
        <x:v>21039</x:v>
      </x:c>
      <x:c r="H81" s="15" t="d">
        <x:v>2026-09-28T00:00:00.000Z</x:v>
      </x:c>
      <x:c r="I81" s="15" t="d">
        <x:v>2026-10-28T00:00:00.000Z</x:v>
      </x:c>
      <x:c r="J81" s="16" t="n">
        <x:v>2022000</x:v>
      </x:c>
      <x:c r="K81" s="2" t="str">
        <x:v>CLP</x:v>
      </x:c>
      <x:c r="L81" s="2" t="str">
        <x:v>No</x:v>
      </x:c>
      <x:c r="M81" s="2" t="str"/>
      <x:c r="N81" s="2" t="str">
        <x:v>Sí</x:v>
      </x:c>
      <x:c r="O81" s="2" t="str">
        <x:v>HES-25239</x:v>
      </x:c>
      <x:c r="P81" s="2" t="str">
        <x:v>Sí</x:v>
      </x:c>
      <x:c r="Q81" s="15"/>
      <x:c r="R81" s="2" t="str">
        <x:v>aceptada</x:v>
      </x:c>
      <x:c r="S81" s="2" t="str">
        <x:v>emitida</x:v>
      </x:c>
      <x:c r="T81" s="15"/>
      <x:c r="U81" s="2" t="str">
        <x:v>documental_portal</x:v>
      </x:c>
      <x:c r="V81" s="17" t="n">
        <x:f>IF(T81&lt;&gt;"",MAX(0,T81-I81),MAX(0,DATE(2026,10,14)-I81))</x:f>
        <x:v>0</x:v>
      </x:c>
      <x:c r="W81" s="2" t="str">
        <x:f>IF(T81="","Pendiente",IF(T81&lt;=I81,"Sí","No"))</x:f>
        <x:v>Pendiente</x:v>
      </x:c>
      <x:c r="X81" s="2" t="str"/>
      <x:c r="Y81" s="2" t="str">
        <x:v>Caso abierto; fecha proyectada posterior a la fecha de corte</x:v>
      </x:c>
    </x:row>
    <x:row r="82">
      <x:c r="A82" s="2" t="str">
        <x:v>FAC-3-0001</x:v>
      </x:c>
      <x:c r="B82" s="2" t="str">
        <x:v>77345678-K</x:v>
      </x:c>
      <x:c r="C82" s="2" t="str">
        <x:v>Montajes Atacama SpA</x:v>
      </x:c>
      <x:c r="D82" s="2" t="str">
        <x:v>96000111-7</x:v>
      </x:c>
      <x:c r="E82" s="2" t="str">
        <x:v>Minera Horizonte S.A.</x:v>
      </x:c>
      <x:c r="F82" s="2" t="str">
        <x:v>factura</x:v>
      </x:c>
      <x:c r="G82" s="2" t="str">
        <x:v>31000</x:v>
      </x:c>
      <x:c r="H82" s="15" t="d">
        <x:v>2026-06-04T00:00:00.000Z</x:v>
      </x:c>
      <x:c r="I82" s="15" t="d">
        <x:v>2026-07-19T00:00:00.000Z</x:v>
      </x:c>
      <x:c r="J82" s="16" t="n">
        <x:v>970000</x:v>
      </x:c>
      <x:c r="K82" s="2" t="str">
        <x:v>CLP</x:v>
      </x:c>
      <x:c r="L82" s="2" t="str">
        <x:v>Sí</x:v>
      </x:c>
      <x:c r="M82" s="2" t="str">
        <x:v>OC-38100</x:v>
      </x:c>
      <x:c r="N82" s="2" t="str">
        <x:v>Sí</x:v>
      </x:c>
      <x:c r="O82" s="2" t="str">
        <x:v>HES-35200</x:v>
      </x:c>
      <x:c r="P82" s="2" t="str">
        <x:v>Sí</x:v>
      </x:c>
      <x:c r="Q82" s="15" t="d">
        <x:v>2026-06-06T00:00:00.000Z</x:v>
      </x:c>
      <x:c r="R82" s="2" t="str">
        <x:v>aceptada</x:v>
      </x:c>
      <x:c r="S82" s="2" t="str">
        <x:v>disputa</x:v>
      </x:c>
      <x:c r="T82" s="15"/>
      <x:c r="U82" s="2" t="str">
        <x:v>disputa_comercial</x:v>
      </x:c>
      <x:c r="V82" s="17" t="n">
        <x:f>IF(T82&lt;&gt;"",MAX(0,T82-I82),MAX(0,DATE(2026,10,14)-I82))</x:f>
        <x:v>87</x:v>
      </x:c>
      <x:c r="W82" s="2" t="str">
        <x:f>IF(T82="","Pendiente",IF(T82&lt;=I82,"Sí","No"))</x:f>
        <x:v>Pendiente</x:v>
      </x:c>
      <x:c r="X82" s="2" t="str"/>
      <x:c r="Y82" s="2" t="str">
        <x:v>Diferencia sobre alcance del servicio; requiere intervención humana</x:v>
      </x:c>
    </x:row>
    <x:row r="83">
      <x:c r="A83" s="2" t="str">
        <x:v>FAC-3-0002</x:v>
      </x:c>
      <x:c r="B83" s="2" t="str">
        <x:v>77345678-K</x:v>
      </x:c>
      <x:c r="C83" s="2" t="str">
        <x:v>Montajes Atacama SpA</x:v>
      </x:c>
      <x:c r="D83" s="2" t="str">
        <x:v>96000222-9</x:v>
      </x:c>
      <x:c r="E83" s="2" t="str">
        <x:v>Retail Pórtico S.A.</x:v>
      </x:c>
      <x:c r="F83" s="2" t="str">
        <x:v>factura</x:v>
      </x:c>
      <x:c r="G83" s="2" t="str">
        <x:v>31001</x:v>
      </x:c>
      <x:c r="H83" s="15" t="d">
        <x:v>2026-06-07T00:00:00.000Z</x:v>
      </x:c>
      <x:c r="I83" s="15" t="d">
        <x:v>2026-07-07T00:00:00.000Z</x:v>
      </x:c>
      <x:c r="J83" s="16" t="n">
        <x:v>1143000</x:v>
      </x:c>
      <x:c r="K83" s="2" t="str">
        <x:v>CLP</x:v>
      </x:c>
      <x:c r="L83" s="2" t="str">
        <x:v>Sí</x:v>
      </x:c>
      <x:c r="M83" s="2" t="str">
        <x:v>OC-38101</x:v>
      </x:c>
      <x:c r="N83" s="2" t="str">
        <x:v>No</x:v>
      </x:c>
      <x:c r="O83" s="2" t="str"/>
      <x:c r="P83" s="2" t="str">
        <x:v>Sí</x:v>
      </x:c>
      <x:c r="Q83" s="15" t="d">
        <x:v>2026-06-09T00:00:00.000Z</x:v>
      </x:c>
      <x:c r="R83" s="2" t="str">
        <x:v>aceptada</x:v>
      </x:c>
      <x:c r="S83" s="2" t="str">
        <x:v>pagada</x:v>
      </x:c>
      <x:c r="T83" s="15" t="d">
        <x:v>2026-07-27T00:00:00.000Z</x:v>
      </x:c>
      <x:c r="U83" s="2" t="str">
        <x:v>liquidez_pagador</x:v>
      </x:c>
      <x:c r="V83" s="17" t="n">
        <x:f>IF(T83&lt;&gt;"",MAX(0,T83-I83),MAX(0,DATE(2026,10,14)-I83))</x:f>
        <x:v>20</x:v>
      </x:c>
      <x:c r="W83" s="2" t="str">
        <x:f>IF(T83="","Pendiente",IF(T83&lt;=I83,"Sí","No"))</x:f>
        <x:v>No</x:v>
      </x:c>
      <x:c r="X83" s="2" t="str">
        <x:v>evidencias/FAC-3-0002-comprobante.pdf</x:v>
      </x:c>
      <x:c r="Y83" s="2" t="str">
        <x:v>Pagador informó restricción temporal de caja</x:v>
      </x:c>
    </x:row>
    <x:row r="84">
      <x:c r="A84" s="2" t="str">
        <x:v>FAC-3-0003</x:v>
      </x:c>
      <x:c r="B84" s="2" t="str">
        <x:v>77345678-K</x:v>
      </x:c>
      <x:c r="C84" s="2" t="str">
        <x:v>Montajes Atacama SpA</x:v>
      </x:c>
      <x:c r="D84" s="2" t="str">
        <x:v>96000666-6</x:v>
      </x:c>
      <x:c r="E84" s="2" t="str">
        <x:v>Celulosa Bosques del Sur S.A.</x:v>
      </x:c>
      <x:c r="F84" s="2" t="str">
        <x:v>factura</x:v>
      </x:c>
      <x:c r="G84" s="2" t="str">
        <x:v>31002</x:v>
      </x:c>
      <x:c r="H84" s="15" t="d">
        <x:v>2026-06-10T00:00:00.000Z</x:v>
      </x:c>
      <x:c r="I84" s="15" t="d">
        <x:v>2026-07-25T00:00:00.000Z</x:v>
      </x:c>
      <x:c r="J84" s="16" t="n">
        <x:v>1316000</x:v>
      </x:c>
      <x:c r="K84" s="2" t="str">
        <x:v>CLP</x:v>
      </x:c>
      <x:c r="L84" s="2" t="str">
        <x:v>Sí</x:v>
      </x:c>
      <x:c r="M84" s="2" t="str">
        <x:v>OC-38102</x:v>
      </x:c>
      <x:c r="N84" s="2" t="str">
        <x:v>Sí</x:v>
      </x:c>
      <x:c r="O84" s="2" t="str">
        <x:v>HES-35202</x:v>
      </x:c>
      <x:c r="P84" s="2" t="str">
        <x:v>Sí</x:v>
      </x:c>
      <x:c r="Q84" s="15" t="d">
        <x:v>2026-06-12T00:00:00.000Z</x:v>
      </x:c>
      <x:c r="R84" s="2" t="str">
        <x:v>aceptada</x:v>
      </x:c>
      <x:c r="S84" s="2" t="str">
        <x:v>pagada</x:v>
      </x:c>
      <x:c r="T84" s="15" t="d">
        <x:v>2026-07-24T00:00:00.000Z</x:v>
      </x:c>
      <x:c r="U84" s="2" t="str"/>
      <x:c r="V84" s="17" t="n">
        <x:f>IF(T84&lt;&gt;"",MAX(0,T84-I84),MAX(0,DATE(2026,10,14)-I84))</x:f>
        <x:v>0</x:v>
      </x:c>
      <x:c r="W84" s="2" t="str">
        <x:f>IF(T84="","Pendiente",IF(T84&lt;=I84,"Sí","No"))</x:f>
        <x:v>Sí</x:v>
      </x:c>
      <x:c r="X84" s="2" t="str">
        <x:v>evidencias/FAC-3-0003-comprobante.pdf</x:v>
      </x:c>
      <x:c r="Y84" s="2" t="str">
        <x:v>Problema documental resuelto antes del vencimiento</x:v>
      </x:c>
    </x:row>
    <x:row r="85">
      <x:c r="A85" s="2" t="str">
        <x:v>FAC-3-0004</x:v>
      </x:c>
      <x:c r="B85" s="2" t="str">
        <x:v>77345678-K</x:v>
      </x:c>
      <x:c r="C85" s="2" t="str">
        <x:v>Montajes Atacama SpA</x:v>
      </x:c>
      <x:c r="D85" s="2" t="str">
        <x:v>96000777-8</x:v>
      </x:c>
      <x:c r="E85" s="2" t="str">
        <x:v>Logística Andina SpA</x:v>
      </x:c>
      <x:c r="F85" s="2" t="str">
        <x:v>factura</x:v>
      </x:c>
      <x:c r="G85" s="2" t="str">
        <x:v>31003</x:v>
      </x:c>
      <x:c r="H85" s="15" t="d">
        <x:v>2026-06-13T00:00:00.000Z</x:v>
      </x:c>
      <x:c r="I85" s="15" t="d">
        <x:v>2026-07-13T00:00:00.000Z</x:v>
      </x:c>
      <x:c r="J85" s="16" t="n">
        <x:v>1489000</x:v>
      </x:c>
      <x:c r="K85" s="2" t="str">
        <x:v>CLP</x:v>
      </x:c>
      <x:c r="L85" s="2" t="str">
        <x:v>No</x:v>
      </x:c>
      <x:c r="M85" s="2" t="str"/>
      <x:c r="N85" s="2" t="str">
        <x:v>Sí</x:v>
      </x:c>
      <x:c r="O85" s="2" t="str">
        <x:v>HES-35203</x:v>
      </x:c>
      <x:c r="P85" s="2" t="str">
        <x:v>Sí</x:v>
      </x:c>
      <x:c r="Q85" s="15" t="d">
        <x:v>2026-06-15T00:00:00.000Z</x:v>
      </x:c>
      <x:c r="R85" s="2" t="str">
        <x:v>aceptada</x:v>
      </x:c>
      <x:c r="S85" s="2" t="str">
        <x:v>emitida</x:v>
      </x:c>
      <x:c r="T85" s="15"/>
      <x:c r="U85" s="2" t="str">
        <x:v>proceso_interno_pagador</x:v>
      </x:c>
      <x:c r="V85" s="17" t="n">
        <x:f>IF(T85&lt;&gt;"",MAX(0,T85-I85),MAX(0,DATE(2026,10,14)-I85))</x:f>
        <x:v>93</x:v>
      </x:c>
      <x:c r="W85" s="2" t="str">
        <x:f>IF(T85="","Pendiente",IF(T85&lt;=I85,"Sí","No"))</x:f>
        <x:v>Pendiente</x:v>
      </x:c>
      <x:c r="X85" s="2" t="str"/>
      <x:c r="Y85" s="2" t="str">
        <x:v>Factura aún dentro de plazo</x:v>
      </x:c>
    </x:row>
    <x:row r="86">
      <x:c r="A86" s="2" t="str">
        <x:v>FAC-3-0005</x:v>
      </x:c>
      <x:c r="B86" s="2" t="str">
        <x:v>77345678-K</x:v>
      </x:c>
      <x:c r="C86" s="2" t="str">
        <x:v>Montajes Atacama SpA</x:v>
      </x:c>
      <x:c r="D86" s="2" t="str">
        <x:v>96000888-K</x:v>
      </x:c>
      <x:c r="E86" s="2" t="str">
        <x:v>Clínica Metropolitana S.A.</x:v>
      </x:c>
      <x:c r="F86" s="2" t="str">
        <x:v>factura</x:v>
      </x:c>
      <x:c r="G86" s="2" t="str">
        <x:v>31004</x:v>
      </x:c>
      <x:c r="H86" s="15" t="d">
        <x:v>2026-06-16T00:00:00.000Z</x:v>
      </x:c>
      <x:c r="I86" s="15" t="d">
        <x:v>2026-07-16T00:00:00.000Z</x:v>
      </x:c>
      <x:c r="J86" s="16" t="n">
        <x:v>1662000</x:v>
      </x:c>
      <x:c r="K86" s="2" t="str">
        <x:v>CLP</x:v>
      </x:c>
      <x:c r="L86" s="2" t="str">
        <x:v>Sí</x:v>
      </x:c>
      <x:c r="M86" s="2" t="str">
        <x:v>OC-38104</x:v>
      </x:c>
      <x:c r="N86" s="2" t="str">
        <x:v>No</x:v>
      </x:c>
      <x:c r="O86" s="2" t="str"/>
      <x:c r="P86" s="2" t="str">
        <x:v>Sí</x:v>
      </x:c>
      <x:c r="Q86" s="15" t="d">
        <x:v>2026-06-18T00:00:00.000Z</x:v>
      </x:c>
      <x:c r="R86" s="2" t="str">
        <x:v>aceptada</x:v>
      </x:c>
      <x:c r="S86" s="2" t="str">
        <x:v>pagada</x:v>
      </x:c>
      <x:c r="T86" s="15" t="d">
        <x:v>2026-07-12T00:00:00.000Z</x:v>
      </x:c>
      <x:c r="U86" s="2" t="str"/>
      <x:c r="V86" s="17" t="n">
        <x:f>IF(T86&lt;&gt;"",MAX(0,T86-I86),MAX(0,DATE(2026,10,14)-I86))</x:f>
        <x:v>0</x:v>
      </x:c>
      <x:c r="W86" s="2" t="str">
        <x:f>IF(T86="","Pendiente",IF(T86&lt;=I86,"Sí","No"))</x:f>
        <x:v>Sí</x:v>
      </x:c>
      <x:c r="X86" s="2" t="str">
        <x:v>evidencias/FAC-3-0005-comprobante.pdf</x:v>
      </x:c>
      <x:c r="Y86" s="2" t="str">
        <x:v>Pago normal</x:v>
      </x:c>
    </x:row>
    <x:row r="87">
      <x:c r="A87" s="2" t="str">
        <x:v>FAC-3-0006</x:v>
      </x:c>
      <x:c r="B87" s="2" t="str">
        <x:v>77345678-K</x:v>
      </x:c>
      <x:c r="C87" s="2" t="str">
        <x:v>Montajes Atacama SpA</x:v>
      </x:c>
      <x:c r="D87" s="2" t="str">
        <x:v>96000111-7</x:v>
      </x:c>
      <x:c r="E87" s="2" t="str">
        <x:v>Minera Horizonte S.A.</x:v>
      </x:c>
      <x:c r="F87" s="2" t="str">
        <x:v>factura</x:v>
      </x:c>
      <x:c r="G87" s="2" t="str">
        <x:v>31005</x:v>
      </x:c>
      <x:c r="H87" s="15" t="d">
        <x:v>2026-06-19T00:00:00.000Z</x:v>
      </x:c>
      <x:c r="I87" s="15" t="d">
        <x:v>2026-08-03T00:00:00.000Z</x:v>
      </x:c>
      <x:c r="J87" s="16" t="n">
        <x:v>1835000</x:v>
      </x:c>
      <x:c r="K87" s="2" t="str">
        <x:v>CLP</x:v>
      </x:c>
      <x:c r="L87" s="2" t="str">
        <x:v>Sí</x:v>
      </x:c>
      <x:c r="M87" s="2" t="str">
        <x:v>OC-38105</x:v>
      </x:c>
      <x:c r="N87" s="2" t="str">
        <x:v>Sí</x:v>
      </x:c>
      <x:c r="O87" s="2" t="str">
        <x:v>HES-35205</x:v>
      </x:c>
      <x:c r="P87" s="2" t="str">
        <x:v>Sí</x:v>
      </x:c>
      <x:c r="Q87" s="15" t="d">
        <x:v>2026-06-21T00:00:00.000Z</x:v>
      </x:c>
      <x:c r="R87" s="2" t="str">
        <x:v>aceptada</x:v>
      </x:c>
      <x:c r="S87" s="2" t="str">
        <x:v>pagada</x:v>
      </x:c>
      <x:c r="T87" s="15" t="d">
        <x:v>2026-08-15T00:00:00.000Z</x:v>
      </x:c>
      <x:c r="U87" s="2" t="str">
        <x:v>documental_hes_conformidad</x:v>
      </x:c>
      <x:c r="V87" s="17" t="n">
        <x:f>IF(T87&lt;&gt;"",MAX(0,T87-I87),MAX(0,DATE(2026,10,14)-I87))</x:f>
        <x:v>12</x:v>
      </x:c>
      <x:c r="W87" s="2" t="str">
        <x:f>IF(T87="","Pendiente",IF(T87&lt;=I87,"Sí","No"))</x:f>
        <x:v>No</x:v>
      </x:c>
      <x:c r="X87" s="2" t="str">
        <x:v>evidencias/FAC-3-0006-comprobante.pdf</x:v>
      </x:c>
      <x:c r="Y87" s="2" t="str">
        <x:v>HES emitida después del vencimiento</x:v>
      </x:c>
    </x:row>
    <x:row r="88">
      <x:c r="A88" s="2" t="str">
        <x:v>FAC-3-0007</x:v>
      </x:c>
      <x:c r="B88" s="2" t="str">
        <x:v>77345678-K</x:v>
      </x:c>
      <x:c r="C88" s="2" t="str">
        <x:v>Montajes Atacama SpA</x:v>
      </x:c>
      <x:c r="D88" s="2" t="str">
        <x:v>96000222-9</x:v>
      </x:c>
      <x:c r="E88" s="2" t="str">
        <x:v>Retail Pórtico S.A.</x:v>
      </x:c>
      <x:c r="F88" s="2" t="str">
        <x:v>factura</x:v>
      </x:c>
      <x:c r="G88" s="2" t="str">
        <x:v>31006</x:v>
      </x:c>
      <x:c r="H88" s="15" t="d">
        <x:v>2026-06-22T00:00:00.000Z</x:v>
      </x:c>
      <x:c r="I88" s="15" t="d">
        <x:v>2026-07-22T00:00:00.000Z</x:v>
      </x:c>
      <x:c r="J88" s="16" t="n">
        <x:v>2008000</x:v>
      </x:c>
      <x:c r="K88" s="2" t="str">
        <x:v>CLP</x:v>
      </x:c>
      <x:c r="L88" s="2" t="str">
        <x:v>Sí</x:v>
      </x:c>
      <x:c r="M88" s="2" t="str">
        <x:v>OC-38106</x:v>
      </x:c>
      <x:c r="N88" s="2" t="str">
        <x:v>No</x:v>
      </x:c>
      <x:c r="O88" s="2" t="str"/>
      <x:c r="P88" s="2" t="str">
        <x:v>Sí</x:v>
      </x:c>
      <x:c r="Q88" s="15" t="d">
        <x:v>2026-07-28T00:00:00.000Z</x:v>
      </x:c>
      <x:c r="R88" s="2" t="str">
        <x:v>aceptada</x:v>
      </x:c>
      <x:c r="S88" s="2" t="str">
        <x:v>pagada</x:v>
      </x:c>
      <x:c r="T88" s="15" t="d">
        <x:v>2026-07-30T00:00:00.000Z</x:v>
      </x:c>
      <x:c r="U88" s="2" t="str">
        <x:v>documental_portal</x:v>
      </x:c>
      <x:c r="V88" s="17" t="n">
        <x:f>IF(T88&lt;&gt;"",MAX(0,T88-I88),MAX(0,DATE(2026,10,14)-I88))</x:f>
        <x:v>8</x:v>
      </x:c>
      <x:c r="W88" s="2" t="str">
        <x:f>IF(T88="","Pendiente",IF(T88&lt;=I88,"Sí","No"))</x:f>
        <x:v>No</x:v>
      </x:c>
      <x:c r="X88" s="2" t="str">
        <x:v>evidencias/FAC-3-0007-comprobante.pdf</x:v>
      </x:c>
      <x:c r="Y88" s="2" t="str">
        <x:v>Carga en portal completada tarde</x:v>
      </x:c>
    </x:row>
    <x:row r="89">
      <x:c r="A89" s="2" t="str">
        <x:v>FAC-3-0008</x:v>
      </x:c>
      <x:c r="B89" s="2" t="str">
        <x:v>77345678-K</x:v>
      </x:c>
      <x:c r="C89" s="2" t="str">
        <x:v>Montajes Atacama SpA</x:v>
      </x:c>
      <x:c r="D89" s="2" t="str">
        <x:v>96000666-6</x:v>
      </x:c>
      <x:c r="E89" s="2" t="str">
        <x:v>Celulosa Bosques del Sur S.A.</x:v>
      </x:c>
      <x:c r="F89" s="2" t="str">
        <x:v>factura</x:v>
      </x:c>
      <x:c r="G89" s="2" t="str">
        <x:v>31007</x:v>
      </x:c>
      <x:c r="H89" s="15" t="d">
        <x:v>2026-06-25T00:00:00.000Z</x:v>
      </x:c>
      <x:c r="I89" s="15" t="d">
        <x:v>2026-08-09T00:00:00.000Z</x:v>
      </x:c>
      <x:c r="J89" s="16" t="n">
        <x:v>2181000</x:v>
      </x:c>
      <x:c r="K89" s="2" t="str">
        <x:v>CLP</x:v>
      </x:c>
      <x:c r="L89" s="2" t="str">
        <x:v>Sí</x:v>
      </x:c>
      <x:c r="M89" s="2" t="str"/>
      <x:c r="N89" s="2" t="str">
        <x:v>Sí</x:v>
      </x:c>
      <x:c r="O89" s="2" t="str">
        <x:v>HES-35207</x:v>
      </x:c>
      <x:c r="P89" s="2" t="str">
        <x:v>Sí</x:v>
      </x:c>
      <x:c r="Q89" s="15" t="d">
        <x:v>2026-06-27T00:00:00.000Z</x:v>
      </x:c>
      <x:c r="R89" s="2" t="str">
        <x:v>aceptada</x:v>
      </x:c>
      <x:c r="S89" s="2" t="str">
        <x:v>emitida</x:v>
      </x:c>
      <x:c r="T89" s="15"/>
      <x:c r="U89" s="2" t="str">
        <x:v>documental_oc</x:v>
      </x:c>
      <x:c r="V89" s="17" t="n">
        <x:f>IF(T89&lt;&gt;"",MAX(0,T89-I89),MAX(0,DATE(2026,10,14)-I89))</x:f>
        <x:v>66</x:v>
      </x:c>
      <x:c r="W89" s="2" t="str">
        <x:f>IF(T89="","Pendiente",IF(T89&lt;=I89,"Sí","No"))</x:f>
        <x:v>Pendiente</x:v>
      </x:c>
      <x:c r="X89" s="2" t="str"/>
      <x:c r="Y89" s="2" t="str">
        <x:v>OC pendiente del solicitante</x:v>
      </x:c>
    </x:row>
    <x:row r="90">
      <x:c r="A90" s="2" t="str">
        <x:v>FAC-3-0009</x:v>
      </x:c>
      <x:c r="B90" s="2" t="str">
        <x:v>77345678-K</x:v>
      </x:c>
      <x:c r="C90" s="2" t="str">
        <x:v>Montajes Atacama SpA</x:v>
      </x:c>
      <x:c r="D90" s="2" t="str">
        <x:v>96000777-8</x:v>
      </x:c>
      <x:c r="E90" s="2" t="str">
        <x:v>Logística Andina SpA</x:v>
      </x:c>
      <x:c r="F90" s="2" t="str">
        <x:v>factura</x:v>
      </x:c>
      <x:c r="G90" s="2" t="str">
        <x:v>31008</x:v>
      </x:c>
      <x:c r="H90" s="15" t="d">
        <x:v>2026-06-28T00:00:00.000Z</x:v>
      </x:c>
      <x:c r="I90" s="15" t="d">
        <x:v>2026-07-28T00:00:00.000Z</x:v>
      </x:c>
      <x:c r="J90" s="16" t="n">
        <x:v>2354000</x:v>
      </x:c>
      <x:c r="K90" s="2" t="str">
        <x:v>CLP</x:v>
      </x:c>
      <x:c r="L90" s="2" t="str">
        <x:v>No</x:v>
      </x:c>
      <x:c r="M90" s="2" t="str"/>
      <x:c r="N90" s="2" t="str">
        <x:v>Sí</x:v>
      </x:c>
      <x:c r="O90" s="2" t="str">
        <x:v>HES-35208</x:v>
      </x:c>
      <x:c r="P90" s="2" t="str">
        <x:v>Sí</x:v>
      </x:c>
      <x:c r="Q90" s="15" t="d">
        <x:v>2026-06-30T00:00:00.000Z</x:v>
      </x:c>
      <x:c r="R90" s="2" t="str">
        <x:v>aceptada</x:v>
      </x:c>
      <x:c r="S90" s="2" t="str">
        <x:v>emitida</x:v>
      </x:c>
      <x:c r="T90" s="15"/>
      <x:c r="U90" s="2" t="str">
        <x:v>proceso_interno_pagador</x:v>
      </x:c>
      <x:c r="V90" s="17" t="n">
        <x:f>IF(T90&lt;&gt;"",MAX(0,T90-I90),MAX(0,DATE(2026,10,14)-I90))</x:f>
        <x:v>78</x:v>
      </x:c>
      <x:c r="W90" s="2" t="str">
        <x:f>IF(T90="","Pendiente",IF(T90&lt;=I90,"Sí","No"))</x:f>
        <x:v>Pendiente</x:v>
      </x:c>
      <x:c r="X90" s="2" t="str"/>
      <x:c r="Y90" s="2" t="str">
        <x:v>Factura aprobada y programada para el próximo ciclo</x:v>
      </x:c>
    </x:row>
    <x:row r="91">
      <x:c r="A91" s="2" t="str">
        <x:v>FAC-3-0010</x:v>
      </x:c>
      <x:c r="B91" s="2" t="str">
        <x:v>77345678-K</x:v>
      </x:c>
      <x:c r="C91" s="2" t="str">
        <x:v>Montajes Atacama SpA</x:v>
      </x:c>
      <x:c r="D91" s="2" t="str">
        <x:v>96000888-K</x:v>
      </x:c>
      <x:c r="E91" s="2" t="str">
        <x:v>Clínica Metropolitana S.A.</x:v>
      </x:c>
      <x:c r="F91" s="2" t="str">
        <x:v>factura</x:v>
      </x:c>
      <x:c r="G91" s="2" t="str">
        <x:v>31009</x:v>
      </x:c>
      <x:c r="H91" s="15" t="d">
        <x:v>2026-07-01T00:00:00.000Z</x:v>
      </x:c>
      <x:c r="I91" s="15" t="d">
        <x:v>2026-07-31T00:00:00.000Z</x:v>
      </x:c>
      <x:c r="J91" s="16" t="n">
        <x:v>2527000</x:v>
      </x:c>
      <x:c r="K91" s="2" t="str">
        <x:v>CLP</x:v>
      </x:c>
      <x:c r="L91" s="2" t="str">
        <x:v>Sí</x:v>
      </x:c>
      <x:c r="M91" s="2" t="str">
        <x:v>OC-38109</x:v>
      </x:c>
      <x:c r="N91" s="2" t="str">
        <x:v>No</x:v>
      </x:c>
      <x:c r="O91" s="2" t="str"/>
      <x:c r="P91" s="2" t="str">
        <x:v>Sí</x:v>
      </x:c>
      <x:c r="Q91" s="15" t="d">
        <x:v>2026-07-03T00:00:00.000Z</x:v>
      </x:c>
      <x:c r="R91" s="2" t="str">
        <x:v>reclamada</x:v>
      </x:c>
      <x:c r="S91" s="2" t="str">
        <x:v>reclamada</x:v>
      </x:c>
      <x:c r="T91" s="15"/>
      <x:c r="U91" s="2" t="str">
        <x:v>documental_sii</x:v>
      </x:c>
      <x:c r="V91" s="17" t="n">
        <x:f>IF(T91&lt;&gt;"",MAX(0,T91-I91),MAX(0,DATE(2026,10,14)-I91))</x:f>
        <x:v>75</x:v>
      </x:c>
      <x:c r="W91" s="2" t="str">
        <x:f>IF(T91="","Pendiente",IF(T91&lt;=I91,"Sí","No"))</x:f>
        <x:v>Pendiente</x:v>
      </x:c>
      <x:c r="X91" s="2" t="str"/>
      <x:c r="Y91" s="2" t="str">
        <x:v>Reclamo por referencia contractual incompleta</x:v>
      </x:c>
    </x:row>
    <x:row r="92">
      <x:c r="A92" s="2" t="str">
        <x:v>FAC-3-0011</x:v>
      </x:c>
      <x:c r="B92" s="2" t="str">
        <x:v>77345678-K</x:v>
      </x:c>
      <x:c r="C92" s="2" t="str">
        <x:v>Montajes Atacama SpA</x:v>
      </x:c>
      <x:c r="D92" s="2" t="str">
        <x:v>96000111-7</x:v>
      </x:c>
      <x:c r="E92" s="2" t="str">
        <x:v>Minera Horizonte S.A.</x:v>
      </x:c>
      <x:c r="F92" s="2" t="str">
        <x:v>factura</x:v>
      </x:c>
      <x:c r="G92" s="2" t="str">
        <x:v>31010</x:v>
      </x:c>
      <x:c r="H92" s="15" t="d">
        <x:v>2026-07-04T00:00:00.000Z</x:v>
      </x:c>
      <x:c r="I92" s="15" t="d">
        <x:v>2026-08-18T00:00:00.000Z</x:v>
      </x:c>
      <x:c r="J92" s="16" t="n">
        <x:v>2700000</x:v>
      </x:c>
      <x:c r="K92" s="2" t="str">
        <x:v>CLP</x:v>
      </x:c>
      <x:c r="L92" s="2" t="str">
        <x:v>Sí</x:v>
      </x:c>
      <x:c r="M92" s="2" t="str">
        <x:v>OC-38110</x:v>
      </x:c>
      <x:c r="N92" s="2" t="str">
        <x:v>Sí</x:v>
      </x:c>
      <x:c r="O92" s="2" t="str">
        <x:v>HES-35210</x:v>
      </x:c>
      <x:c r="P92" s="2" t="str">
        <x:v>Sí</x:v>
      </x:c>
      <x:c r="Q92" s="15" t="d">
        <x:v>2026-07-06T00:00:00.000Z</x:v>
      </x:c>
      <x:c r="R92" s="2" t="str">
        <x:v>aceptada</x:v>
      </x:c>
      <x:c r="S92" s="2" t="str">
        <x:v>disputa</x:v>
      </x:c>
      <x:c r="T92" s="15"/>
      <x:c r="U92" s="2" t="str">
        <x:v>disputa_comercial</x:v>
      </x:c>
      <x:c r="V92" s="17" t="n">
        <x:f>IF(T92&lt;&gt;"",MAX(0,T92-I92),MAX(0,DATE(2026,10,14)-I92))</x:f>
        <x:v>57</x:v>
      </x:c>
      <x:c r="W92" s="2" t="str">
        <x:f>IF(T92="","Pendiente",IF(T92&lt;=I92,"Sí","No"))</x:f>
        <x:v>Pendiente</x:v>
      </x:c>
      <x:c r="X92" s="2" t="str"/>
      <x:c r="Y92" s="2" t="str">
        <x:v>Diferencia sobre alcance del servicio; requiere intervención humana</x:v>
      </x:c>
    </x:row>
    <x:row r="93">
      <x:c r="A93" s="2" t="str">
        <x:v>FAC-3-0012</x:v>
      </x:c>
      <x:c r="B93" s="2" t="str">
        <x:v>77345678-K</x:v>
      </x:c>
      <x:c r="C93" s="2" t="str">
        <x:v>Montajes Atacama SpA</x:v>
      </x:c>
      <x:c r="D93" s="2" t="str">
        <x:v>96000222-9</x:v>
      </x:c>
      <x:c r="E93" s="2" t="str">
        <x:v>Retail Pórtico S.A.</x:v>
      </x:c>
      <x:c r="F93" s="2" t="str">
        <x:v>factura</x:v>
      </x:c>
      <x:c r="G93" s="2" t="str">
        <x:v>31011</x:v>
      </x:c>
      <x:c r="H93" s="15" t="d">
        <x:v>2026-07-07T00:00:00.000Z</x:v>
      </x:c>
      <x:c r="I93" s="15" t="d">
        <x:v>2026-08-06T00:00:00.000Z</x:v>
      </x:c>
      <x:c r="J93" s="16" t="n">
        <x:v>2873000</x:v>
      </x:c>
      <x:c r="K93" s="2" t="str">
        <x:v>CLP</x:v>
      </x:c>
      <x:c r="L93" s="2" t="str">
        <x:v>Sí</x:v>
      </x:c>
      <x:c r="M93" s="2" t="str">
        <x:v>OC-38111</x:v>
      </x:c>
      <x:c r="N93" s="2" t="str">
        <x:v>No</x:v>
      </x:c>
      <x:c r="O93" s="2" t="str"/>
      <x:c r="P93" s="2" t="str">
        <x:v>Sí</x:v>
      </x:c>
      <x:c r="Q93" s="15" t="d">
        <x:v>2026-07-09T00:00:00.000Z</x:v>
      </x:c>
      <x:c r="R93" s="2" t="str">
        <x:v>aceptada</x:v>
      </x:c>
      <x:c r="S93" s="2" t="str">
        <x:v>pagada</x:v>
      </x:c>
      <x:c r="T93" s="15" t="d">
        <x:v>2026-08-26T00:00:00.000Z</x:v>
      </x:c>
      <x:c r="U93" s="2" t="str">
        <x:v>liquidez_pagador</x:v>
      </x:c>
      <x:c r="V93" s="17" t="n">
        <x:f>IF(T93&lt;&gt;"",MAX(0,T93-I93),MAX(0,DATE(2026,10,14)-I93))</x:f>
        <x:v>20</x:v>
      </x:c>
      <x:c r="W93" s="2" t="str">
        <x:f>IF(T93="","Pendiente",IF(T93&lt;=I93,"Sí","No"))</x:f>
        <x:v>No</x:v>
      </x:c>
      <x:c r="X93" s="2" t="str">
        <x:v>evidencias/FAC-3-0012-comprobante.pdf</x:v>
      </x:c>
      <x:c r="Y93" s="2" t="str">
        <x:v>Pagador informó restricción temporal de caja</x:v>
      </x:c>
    </x:row>
    <x:row r="94">
      <x:c r="A94" s="2" t="str">
        <x:v>FAC-3-0013</x:v>
      </x:c>
      <x:c r="B94" s="2" t="str">
        <x:v>77345678-K</x:v>
      </x:c>
      <x:c r="C94" s="2" t="str">
        <x:v>Montajes Atacama SpA</x:v>
      </x:c>
      <x:c r="D94" s="2" t="str">
        <x:v>96000666-6</x:v>
      </x:c>
      <x:c r="E94" s="2" t="str">
        <x:v>Celulosa Bosques del Sur S.A.</x:v>
      </x:c>
      <x:c r="F94" s="2" t="str">
        <x:v>factura</x:v>
      </x:c>
      <x:c r="G94" s="2" t="str">
        <x:v>31012</x:v>
      </x:c>
      <x:c r="H94" s="15" t="d">
        <x:v>2026-07-10T00:00:00.000Z</x:v>
      </x:c>
      <x:c r="I94" s="15" t="d">
        <x:v>2026-08-24T00:00:00.000Z</x:v>
      </x:c>
      <x:c r="J94" s="16" t="n">
        <x:v>3046000</x:v>
      </x:c>
      <x:c r="K94" s="2" t="str">
        <x:v>CLP</x:v>
      </x:c>
      <x:c r="L94" s="2" t="str">
        <x:v>Sí</x:v>
      </x:c>
      <x:c r="M94" s="2" t="str">
        <x:v>OC-38112</x:v>
      </x:c>
      <x:c r="N94" s="2" t="str">
        <x:v>Sí</x:v>
      </x:c>
      <x:c r="O94" s="2" t="str">
        <x:v>HES-35212</x:v>
      </x:c>
      <x:c r="P94" s="2" t="str">
        <x:v>Sí</x:v>
      </x:c>
      <x:c r="Q94" s="15" t="d">
        <x:v>2026-07-12T00:00:00.000Z</x:v>
      </x:c>
      <x:c r="R94" s="2" t="str">
        <x:v>aceptada</x:v>
      </x:c>
      <x:c r="S94" s="2" t="str">
        <x:v>pagada</x:v>
      </x:c>
      <x:c r="T94" s="15" t="d">
        <x:v>2026-08-23T00:00:00.000Z</x:v>
      </x:c>
      <x:c r="U94" s="2" t="str"/>
      <x:c r="V94" s="17" t="n">
        <x:f>IF(T94&lt;&gt;"",MAX(0,T94-I94),MAX(0,DATE(2026,10,14)-I94))</x:f>
        <x:v>0</x:v>
      </x:c>
      <x:c r="W94" s="2" t="str">
        <x:f>IF(T94="","Pendiente",IF(T94&lt;=I94,"Sí","No"))</x:f>
        <x:v>Sí</x:v>
      </x:c>
      <x:c r="X94" s="2" t="str">
        <x:v>evidencias/FAC-3-0013-comprobante.pdf</x:v>
      </x:c>
      <x:c r="Y94" s="2" t="str">
        <x:v>Problema documental resuelto antes del vencimiento</x:v>
      </x:c>
    </x:row>
    <x:row r="95">
      <x:c r="A95" s="2" t="str">
        <x:v>FAC-3-0014</x:v>
      </x:c>
      <x:c r="B95" s="2" t="str">
        <x:v>77345678-K</x:v>
      </x:c>
      <x:c r="C95" s="2" t="str">
        <x:v>Montajes Atacama SpA</x:v>
      </x:c>
      <x:c r="D95" s="2" t="str">
        <x:v>96000777-8</x:v>
      </x:c>
      <x:c r="E95" s="2" t="str">
        <x:v>Logística Andina SpA</x:v>
      </x:c>
      <x:c r="F95" s="2" t="str">
        <x:v>factura</x:v>
      </x:c>
      <x:c r="G95" s="2" t="str">
        <x:v>31013</x:v>
      </x:c>
      <x:c r="H95" s="15" t="d">
        <x:v>2026-07-13T00:00:00.000Z</x:v>
      </x:c>
      <x:c r="I95" s="15" t="d">
        <x:v>2026-08-12T00:00:00.000Z</x:v>
      </x:c>
      <x:c r="J95" s="16" t="n">
        <x:v>3219000</x:v>
      </x:c>
      <x:c r="K95" s="2" t="str">
        <x:v>CLP</x:v>
      </x:c>
      <x:c r="L95" s="2" t="str">
        <x:v>No</x:v>
      </x:c>
      <x:c r="M95" s="2" t="str"/>
      <x:c r="N95" s="2" t="str">
        <x:v>Sí</x:v>
      </x:c>
      <x:c r="O95" s="2" t="str">
        <x:v>HES-35213</x:v>
      </x:c>
      <x:c r="P95" s="2" t="str">
        <x:v>Sí</x:v>
      </x:c>
      <x:c r="Q95" s="15" t="d">
        <x:v>2026-07-15T00:00:00.000Z</x:v>
      </x:c>
      <x:c r="R95" s="2" t="str">
        <x:v>aceptada</x:v>
      </x:c>
      <x:c r="S95" s="2" t="str">
        <x:v>emitida</x:v>
      </x:c>
      <x:c r="T95" s="15"/>
      <x:c r="U95" s="2" t="str">
        <x:v>proceso_interno_pagador</x:v>
      </x:c>
      <x:c r="V95" s="17" t="n">
        <x:f>IF(T95&lt;&gt;"",MAX(0,T95-I95),MAX(0,DATE(2026,10,14)-I95))</x:f>
        <x:v>63</x:v>
      </x:c>
      <x:c r="W95" s="2" t="str">
        <x:f>IF(T95="","Pendiente",IF(T95&lt;=I95,"Sí","No"))</x:f>
        <x:v>Pendiente</x:v>
      </x:c>
      <x:c r="X95" s="2" t="str"/>
      <x:c r="Y95" s="2" t="str">
        <x:v>Factura aún dentro de plazo</x:v>
      </x:c>
    </x:row>
    <x:row r="96">
      <x:c r="A96" s="2" t="str">
        <x:v>FAC-3-0015</x:v>
      </x:c>
      <x:c r="B96" s="2" t="str">
        <x:v>77345678-K</x:v>
      </x:c>
      <x:c r="C96" s="2" t="str">
        <x:v>Montajes Atacama SpA</x:v>
      </x:c>
      <x:c r="D96" s="2" t="str">
        <x:v>96000888-K</x:v>
      </x:c>
      <x:c r="E96" s="2" t="str">
        <x:v>Clínica Metropolitana S.A.</x:v>
      </x:c>
      <x:c r="F96" s="2" t="str">
        <x:v>factura</x:v>
      </x:c>
      <x:c r="G96" s="2" t="str">
        <x:v>31014</x:v>
      </x:c>
      <x:c r="H96" s="15" t="d">
        <x:v>2026-07-16T00:00:00.000Z</x:v>
      </x:c>
      <x:c r="I96" s="15" t="d">
        <x:v>2026-08-15T00:00:00.000Z</x:v>
      </x:c>
      <x:c r="J96" s="16" t="n">
        <x:v>3392000</x:v>
      </x:c>
      <x:c r="K96" s="2" t="str">
        <x:v>CLP</x:v>
      </x:c>
      <x:c r="L96" s="2" t="str">
        <x:v>Sí</x:v>
      </x:c>
      <x:c r="M96" s="2" t="str">
        <x:v>OC-38114</x:v>
      </x:c>
      <x:c r="N96" s="2" t="str">
        <x:v>No</x:v>
      </x:c>
      <x:c r="O96" s="2" t="str"/>
      <x:c r="P96" s="2" t="str">
        <x:v>Sí</x:v>
      </x:c>
      <x:c r="Q96" s="15" t="d">
        <x:v>2026-07-18T00:00:00.000Z</x:v>
      </x:c>
      <x:c r="R96" s="2" t="str">
        <x:v>aceptada</x:v>
      </x:c>
      <x:c r="S96" s="2" t="str">
        <x:v>pagada</x:v>
      </x:c>
      <x:c r="T96" s="15" t="d">
        <x:v>2026-08-11T00:00:00.000Z</x:v>
      </x:c>
      <x:c r="U96" s="2" t="str"/>
      <x:c r="V96" s="17" t="n">
        <x:f>IF(T96&lt;&gt;"",MAX(0,T96-I96),MAX(0,DATE(2026,10,14)-I96))</x:f>
        <x:v>0</x:v>
      </x:c>
      <x:c r="W96" s="2" t="str">
        <x:f>IF(T96="","Pendiente",IF(T96&lt;=I96,"Sí","No"))</x:f>
        <x:v>Sí</x:v>
      </x:c>
      <x:c r="X96" s="2" t="str">
        <x:v>evidencias/FAC-3-0015-comprobante.pdf</x:v>
      </x:c>
      <x:c r="Y96" s="2" t="str">
        <x:v>Pago normal</x:v>
      </x:c>
    </x:row>
    <x:row r="97">
      <x:c r="A97" s="2" t="str">
        <x:v>FAC-3-0016</x:v>
      </x:c>
      <x:c r="B97" s="2" t="str">
        <x:v>77345678-K</x:v>
      </x:c>
      <x:c r="C97" s="2" t="str">
        <x:v>Montajes Atacama SpA</x:v>
      </x:c>
      <x:c r="D97" s="2" t="str">
        <x:v>96000111-7</x:v>
      </x:c>
      <x:c r="E97" s="2" t="str">
        <x:v>Minera Horizonte S.A.</x:v>
      </x:c>
      <x:c r="F97" s="2" t="str">
        <x:v>factura</x:v>
      </x:c>
      <x:c r="G97" s="2" t="str">
        <x:v>31015</x:v>
      </x:c>
      <x:c r="H97" s="15" t="d">
        <x:v>2026-07-19T00:00:00.000Z</x:v>
      </x:c>
      <x:c r="I97" s="15" t="d">
        <x:v>2026-09-02T00:00:00.000Z</x:v>
      </x:c>
      <x:c r="J97" s="16" t="n">
        <x:v>3565000</x:v>
      </x:c>
      <x:c r="K97" s="2" t="str">
        <x:v>CLP</x:v>
      </x:c>
      <x:c r="L97" s="2" t="str">
        <x:v>Sí</x:v>
      </x:c>
      <x:c r="M97" s="2" t="str">
        <x:v>OC-38115</x:v>
      </x:c>
      <x:c r="N97" s="2" t="str">
        <x:v>Sí</x:v>
      </x:c>
      <x:c r="O97" s="2" t="str">
        <x:v>HES-35215</x:v>
      </x:c>
      <x:c r="P97" s="2" t="str">
        <x:v>Sí</x:v>
      </x:c>
      <x:c r="Q97" s="15" t="d">
        <x:v>2026-07-21T00:00:00.000Z</x:v>
      </x:c>
      <x:c r="R97" s="2" t="str">
        <x:v>aceptada</x:v>
      </x:c>
      <x:c r="S97" s="2" t="str">
        <x:v>pagada</x:v>
      </x:c>
      <x:c r="T97" s="15" t="d">
        <x:v>2026-09-14T00:00:00.000Z</x:v>
      </x:c>
      <x:c r="U97" s="2" t="str">
        <x:v>documental_hes_conformidad</x:v>
      </x:c>
      <x:c r="V97" s="17" t="n">
        <x:f>IF(T97&lt;&gt;"",MAX(0,T97-I97),MAX(0,DATE(2026,10,14)-I97))</x:f>
        <x:v>12</x:v>
      </x:c>
      <x:c r="W97" s="2" t="str">
        <x:f>IF(T97="","Pendiente",IF(T97&lt;=I97,"Sí","No"))</x:f>
        <x:v>No</x:v>
      </x:c>
      <x:c r="X97" s="2" t="str">
        <x:v>evidencias/FAC-3-0016-comprobante.pdf</x:v>
      </x:c>
      <x:c r="Y97" s="2" t="str">
        <x:v>HES emitida después del vencimiento</x:v>
      </x:c>
    </x:row>
    <x:row r="98">
      <x:c r="A98" s="2" t="str">
        <x:v>FAC-3-0017</x:v>
      </x:c>
      <x:c r="B98" s="2" t="str">
        <x:v>77345678-K</x:v>
      </x:c>
      <x:c r="C98" s="2" t="str">
        <x:v>Montajes Atacama SpA</x:v>
      </x:c>
      <x:c r="D98" s="2" t="str">
        <x:v>96000222-9</x:v>
      </x:c>
      <x:c r="E98" s="2" t="str">
        <x:v>Retail Pórtico S.A.</x:v>
      </x:c>
      <x:c r="F98" s="2" t="str">
        <x:v>factura</x:v>
      </x:c>
      <x:c r="G98" s="2" t="str">
        <x:v>31016</x:v>
      </x:c>
      <x:c r="H98" s="15" t="d">
        <x:v>2026-07-22T00:00:00.000Z</x:v>
      </x:c>
      <x:c r="I98" s="15" t="d">
        <x:v>2026-08-21T00:00:00.000Z</x:v>
      </x:c>
      <x:c r="J98" s="16" t="n">
        <x:v>3738000</x:v>
      </x:c>
      <x:c r="K98" s="2" t="str">
        <x:v>CLP</x:v>
      </x:c>
      <x:c r="L98" s="2" t="str">
        <x:v>Sí</x:v>
      </x:c>
      <x:c r="M98" s="2" t="str">
        <x:v>OC-38116</x:v>
      </x:c>
      <x:c r="N98" s="2" t="str">
        <x:v>No</x:v>
      </x:c>
      <x:c r="O98" s="2" t="str"/>
      <x:c r="P98" s="2" t="str">
        <x:v>Sí</x:v>
      </x:c>
      <x:c r="Q98" s="15" t="d">
        <x:v>2026-08-27T00:00:00.000Z</x:v>
      </x:c>
      <x:c r="R98" s="2" t="str">
        <x:v>aceptada</x:v>
      </x:c>
      <x:c r="S98" s="2" t="str">
        <x:v>pagada</x:v>
      </x:c>
      <x:c r="T98" s="15" t="d">
        <x:v>2026-08-29T00:00:00.000Z</x:v>
      </x:c>
      <x:c r="U98" s="2" t="str">
        <x:v>documental_portal</x:v>
      </x:c>
      <x:c r="V98" s="17" t="n">
        <x:f>IF(T98&lt;&gt;"",MAX(0,T98-I98),MAX(0,DATE(2026,10,14)-I98))</x:f>
        <x:v>8</x:v>
      </x:c>
      <x:c r="W98" s="2" t="str">
        <x:f>IF(T98="","Pendiente",IF(T98&lt;=I98,"Sí","No"))</x:f>
        <x:v>No</x:v>
      </x:c>
      <x:c r="X98" s="2" t="str">
        <x:v>evidencias/FAC-3-0017-comprobante.pdf</x:v>
      </x:c>
      <x:c r="Y98" s="2" t="str">
        <x:v>Carga en portal completada tarde</x:v>
      </x:c>
    </x:row>
    <x:row r="99">
      <x:c r="A99" s="2" t="str">
        <x:v>FAC-3-0018</x:v>
      </x:c>
      <x:c r="B99" s="2" t="str">
        <x:v>77345678-K</x:v>
      </x:c>
      <x:c r="C99" s="2" t="str">
        <x:v>Montajes Atacama SpA</x:v>
      </x:c>
      <x:c r="D99" s="2" t="str">
        <x:v>96000666-6</x:v>
      </x:c>
      <x:c r="E99" s="2" t="str">
        <x:v>Celulosa Bosques del Sur S.A.</x:v>
      </x:c>
      <x:c r="F99" s="2" t="str">
        <x:v>factura</x:v>
      </x:c>
      <x:c r="G99" s="2" t="str">
        <x:v>31017</x:v>
      </x:c>
      <x:c r="H99" s="15" t="d">
        <x:v>2026-07-25T00:00:00.000Z</x:v>
      </x:c>
      <x:c r="I99" s="15" t="d">
        <x:v>2026-09-08T00:00:00.000Z</x:v>
      </x:c>
      <x:c r="J99" s="16" t="n">
        <x:v>3911000</x:v>
      </x:c>
      <x:c r="K99" s="2" t="str">
        <x:v>CLP</x:v>
      </x:c>
      <x:c r="L99" s="2" t="str">
        <x:v>Sí</x:v>
      </x:c>
      <x:c r="M99" s="2" t="str"/>
      <x:c r="N99" s="2" t="str">
        <x:v>Sí</x:v>
      </x:c>
      <x:c r="O99" s="2" t="str">
        <x:v>HES-35217</x:v>
      </x:c>
      <x:c r="P99" s="2" t="str">
        <x:v>Sí</x:v>
      </x:c>
      <x:c r="Q99" s="15" t="d">
        <x:v>2026-07-27T00:00:00.000Z</x:v>
      </x:c>
      <x:c r="R99" s="2" t="str">
        <x:v>aceptada</x:v>
      </x:c>
      <x:c r="S99" s="2" t="str">
        <x:v>emitida</x:v>
      </x:c>
      <x:c r="T99" s="15"/>
      <x:c r="U99" s="2" t="str">
        <x:v>documental_oc</x:v>
      </x:c>
      <x:c r="V99" s="17" t="n">
        <x:f>IF(T99&lt;&gt;"",MAX(0,T99-I99),MAX(0,DATE(2026,10,14)-I99))</x:f>
        <x:v>36</x:v>
      </x:c>
      <x:c r="W99" s="2" t="str">
        <x:f>IF(T99="","Pendiente",IF(T99&lt;=I99,"Sí","No"))</x:f>
        <x:v>Pendiente</x:v>
      </x:c>
      <x:c r="X99" s="2" t="str"/>
      <x:c r="Y99" s="2" t="str">
        <x:v>OC pendiente del solicitante</x:v>
      </x:c>
    </x:row>
    <x:row r="100">
      <x:c r="A100" s="2" t="str">
        <x:v>FAC-3-0019</x:v>
      </x:c>
      <x:c r="B100" s="2" t="str">
        <x:v>77345678-K</x:v>
      </x:c>
      <x:c r="C100" s="2" t="str">
        <x:v>Montajes Atacama SpA</x:v>
      </x:c>
      <x:c r="D100" s="2" t="str">
        <x:v>96000777-8</x:v>
      </x:c>
      <x:c r="E100" s="2" t="str">
        <x:v>Logística Andina SpA</x:v>
      </x:c>
      <x:c r="F100" s="2" t="str">
        <x:v>factura</x:v>
      </x:c>
      <x:c r="G100" s="2" t="str">
        <x:v>31018</x:v>
      </x:c>
      <x:c r="H100" s="15" t="d">
        <x:v>2026-07-28T00:00:00.000Z</x:v>
      </x:c>
      <x:c r="I100" s="15" t="d">
        <x:v>2026-08-27T00:00:00.000Z</x:v>
      </x:c>
      <x:c r="J100" s="16" t="n">
        <x:v>4084000</x:v>
      </x:c>
      <x:c r="K100" s="2" t="str">
        <x:v>CLP</x:v>
      </x:c>
      <x:c r="L100" s="2" t="str">
        <x:v>No</x:v>
      </x:c>
      <x:c r="M100" s="2" t="str"/>
      <x:c r="N100" s="2" t="str">
        <x:v>Sí</x:v>
      </x:c>
      <x:c r="O100" s="2" t="str">
        <x:v>HES-35218</x:v>
      </x:c>
      <x:c r="P100" s="2" t="str">
        <x:v>Sí</x:v>
      </x:c>
      <x:c r="Q100" s="15" t="d">
        <x:v>2026-07-30T00:00:00.000Z</x:v>
      </x:c>
      <x:c r="R100" s="2" t="str">
        <x:v>aceptada</x:v>
      </x:c>
      <x:c r="S100" s="2" t="str">
        <x:v>emitida</x:v>
      </x:c>
      <x:c r="T100" s="15"/>
      <x:c r="U100" s="2" t="str">
        <x:v>proceso_interno_pagador</x:v>
      </x:c>
      <x:c r="V100" s="17" t="n">
        <x:f>IF(T100&lt;&gt;"",MAX(0,T100-I100),MAX(0,DATE(2026,10,14)-I100))</x:f>
        <x:v>48</x:v>
      </x:c>
      <x:c r="W100" s="2" t="str">
        <x:f>IF(T100="","Pendiente",IF(T100&lt;=I100,"Sí","No"))</x:f>
        <x:v>Pendiente</x:v>
      </x:c>
      <x:c r="X100" s="2" t="str"/>
      <x:c r="Y100" s="2" t="str">
        <x:v>Factura aprobada y programada para el próximo ciclo</x:v>
      </x:c>
    </x:row>
    <x:row r="101">
      <x:c r="A101" s="2" t="str">
        <x:v>FAC-3-0020</x:v>
      </x:c>
      <x:c r="B101" s="2" t="str">
        <x:v>77345678-K</x:v>
      </x:c>
      <x:c r="C101" s="2" t="str">
        <x:v>Montajes Atacama SpA</x:v>
      </x:c>
      <x:c r="D101" s="2" t="str">
        <x:v>96000888-K</x:v>
      </x:c>
      <x:c r="E101" s="2" t="str">
        <x:v>Clínica Metropolitana S.A.</x:v>
      </x:c>
      <x:c r="F101" s="2" t="str">
        <x:v>factura</x:v>
      </x:c>
      <x:c r="G101" s="2" t="str">
        <x:v>31019</x:v>
      </x:c>
      <x:c r="H101" s="15" t="d">
        <x:v>2026-07-31T00:00:00.000Z</x:v>
      </x:c>
      <x:c r="I101" s="15" t="d">
        <x:v>2026-08-30T00:00:00.000Z</x:v>
      </x:c>
      <x:c r="J101" s="16" t="n">
        <x:v>4257000</x:v>
      </x:c>
      <x:c r="K101" s="2" t="str">
        <x:v>CLP</x:v>
      </x:c>
      <x:c r="L101" s="2" t="str">
        <x:v>Sí</x:v>
      </x:c>
      <x:c r="M101" s="2" t="str">
        <x:v>OC-38119</x:v>
      </x:c>
      <x:c r="N101" s="2" t="str">
        <x:v>No</x:v>
      </x:c>
      <x:c r="O101" s="2" t="str"/>
      <x:c r="P101" s="2" t="str">
        <x:v>Sí</x:v>
      </x:c>
      <x:c r="Q101" s="15" t="d">
        <x:v>2026-08-02T00:00:00.000Z</x:v>
      </x:c>
      <x:c r="R101" s="2" t="str">
        <x:v>reclamada</x:v>
      </x:c>
      <x:c r="S101" s="2" t="str">
        <x:v>reclamada</x:v>
      </x:c>
      <x:c r="T101" s="15"/>
      <x:c r="U101" s="2" t="str">
        <x:v>documental_sii</x:v>
      </x:c>
      <x:c r="V101" s="17" t="n">
        <x:f>IF(T101&lt;&gt;"",MAX(0,T101-I101),MAX(0,DATE(2026,10,14)-I101))</x:f>
        <x:v>45</x:v>
      </x:c>
      <x:c r="W101" s="2" t="str">
        <x:f>IF(T101="","Pendiente",IF(T101&lt;=I101,"Sí","No"))</x:f>
        <x:v>Pendiente</x:v>
      </x:c>
      <x:c r="X101" s="2" t="str"/>
      <x:c r="Y101" s="2" t="str">
        <x:v>Reclamo por referencia contractual incompleta</x:v>
      </x:c>
    </x:row>
    <x:row r="102">
      <x:c r="A102" s="2" t="str">
        <x:v>FAC-3-0021</x:v>
      </x:c>
      <x:c r="B102" s="2" t="str">
        <x:v>77345678-K</x:v>
      </x:c>
      <x:c r="C102" s="2" t="str">
        <x:v>Montajes Atacama SpA</x:v>
      </x:c>
      <x:c r="D102" s="2" t="str">
        <x:v>96000111-7</x:v>
      </x:c>
      <x:c r="E102" s="2" t="str">
        <x:v>Minera Horizonte S.A.</x:v>
      </x:c>
      <x:c r="F102" s="2" t="str">
        <x:v>factura</x:v>
      </x:c>
      <x:c r="G102" s="2" t="str">
        <x:v>31020</x:v>
      </x:c>
      <x:c r="H102" s="15" t="d">
        <x:v>2026-08-03T00:00:00.000Z</x:v>
      </x:c>
      <x:c r="I102" s="15" t="d">
        <x:v>2026-09-17T00:00:00.000Z</x:v>
      </x:c>
      <x:c r="J102" s="16" t="n">
        <x:v>4430000</x:v>
      </x:c>
      <x:c r="K102" s="2" t="str">
        <x:v>CLP</x:v>
      </x:c>
      <x:c r="L102" s="2" t="str">
        <x:v>Sí</x:v>
      </x:c>
      <x:c r="M102" s="2" t="str">
        <x:v>OC-38120</x:v>
      </x:c>
      <x:c r="N102" s="2" t="str">
        <x:v>Sí</x:v>
      </x:c>
      <x:c r="O102" s="2" t="str">
        <x:v>HES-35220</x:v>
      </x:c>
      <x:c r="P102" s="2" t="str">
        <x:v>Sí</x:v>
      </x:c>
      <x:c r="Q102" s="15" t="d">
        <x:v>2026-08-05T00:00:00.000Z</x:v>
      </x:c>
      <x:c r="R102" s="2" t="str">
        <x:v>aceptada</x:v>
      </x:c>
      <x:c r="S102" s="2" t="str">
        <x:v>disputa</x:v>
      </x:c>
      <x:c r="T102" s="15"/>
      <x:c r="U102" s="2" t="str">
        <x:v>disputa_comercial</x:v>
      </x:c>
      <x:c r="V102" s="17" t="n">
        <x:f>IF(T102&lt;&gt;"",MAX(0,T102-I102),MAX(0,DATE(2026,10,14)-I102))</x:f>
        <x:v>27</x:v>
      </x:c>
      <x:c r="W102" s="2" t="str">
        <x:f>IF(T102="","Pendiente",IF(T102&lt;=I102,"Sí","No"))</x:f>
        <x:v>Pendiente</x:v>
      </x:c>
      <x:c r="X102" s="2" t="str"/>
      <x:c r="Y102" s="2" t="str">
        <x:v>Diferencia sobre alcance del servicio; requiere intervención humana</x:v>
      </x:c>
    </x:row>
    <x:row r="103">
      <x:c r="A103" s="2" t="str">
        <x:v>FAC-3-0022</x:v>
      </x:c>
      <x:c r="B103" s="2" t="str">
        <x:v>77345678-K</x:v>
      </x:c>
      <x:c r="C103" s="2" t="str">
        <x:v>Montajes Atacama SpA</x:v>
      </x:c>
      <x:c r="D103" s="2" t="str">
        <x:v>96000222-9</x:v>
      </x:c>
      <x:c r="E103" s="2" t="str">
        <x:v>Retail Pórtico S.A.</x:v>
      </x:c>
      <x:c r="F103" s="2" t="str">
        <x:v>factura</x:v>
      </x:c>
      <x:c r="G103" s="2" t="str">
        <x:v>31021</x:v>
      </x:c>
      <x:c r="H103" s="15" t="d">
        <x:v>2026-08-06T00:00:00.000Z</x:v>
      </x:c>
      <x:c r="I103" s="15" t="d">
        <x:v>2026-09-05T00:00:00.000Z</x:v>
      </x:c>
      <x:c r="J103" s="16" t="n">
        <x:v>4603000</x:v>
      </x:c>
      <x:c r="K103" s="2" t="str">
        <x:v>CLP</x:v>
      </x:c>
      <x:c r="L103" s="2" t="str">
        <x:v>Sí</x:v>
      </x:c>
      <x:c r="M103" s="2" t="str">
        <x:v>OC-38121</x:v>
      </x:c>
      <x:c r="N103" s="2" t="str">
        <x:v>No</x:v>
      </x:c>
      <x:c r="O103" s="2" t="str"/>
      <x:c r="P103" s="2" t="str">
        <x:v>Sí</x:v>
      </x:c>
      <x:c r="Q103" s="15" t="d">
        <x:v>2026-08-08T00:00:00.000Z</x:v>
      </x:c>
      <x:c r="R103" s="2" t="str">
        <x:v>aceptada</x:v>
      </x:c>
      <x:c r="S103" s="2" t="str">
        <x:v>pagada</x:v>
      </x:c>
      <x:c r="T103" s="15" t="d">
        <x:v>2026-09-25T00:00:00.000Z</x:v>
      </x:c>
      <x:c r="U103" s="2" t="str">
        <x:v>liquidez_pagador</x:v>
      </x:c>
      <x:c r="V103" s="17" t="n">
        <x:f>IF(T103&lt;&gt;"",MAX(0,T103-I103),MAX(0,DATE(2026,10,14)-I103))</x:f>
        <x:v>20</x:v>
      </x:c>
      <x:c r="W103" s="2" t="str">
        <x:f>IF(T103="","Pendiente",IF(T103&lt;=I103,"Sí","No"))</x:f>
        <x:v>No</x:v>
      </x:c>
      <x:c r="X103" s="2" t="str">
        <x:v>evidencias/FAC-3-0022-comprobante.pdf</x:v>
      </x:c>
      <x:c r="Y103" s="2" t="str">
        <x:v>Pagador informó restricción temporal de caja</x:v>
      </x:c>
    </x:row>
    <x:row r="104">
      <x:c r="A104" s="2" t="str">
        <x:v>FAC-3-0023</x:v>
      </x:c>
      <x:c r="B104" s="2" t="str">
        <x:v>77345678-K</x:v>
      </x:c>
      <x:c r="C104" s="2" t="str">
        <x:v>Montajes Atacama SpA</x:v>
      </x:c>
      <x:c r="D104" s="2" t="str">
        <x:v>96000666-6</x:v>
      </x:c>
      <x:c r="E104" s="2" t="str">
        <x:v>Celulosa Bosques del Sur S.A.</x:v>
      </x:c>
      <x:c r="F104" s="2" t="str">
        <x:v>factura</x:v>
      </x:c>
      <x:c r="G104" s="2" t="str">
        <x:v>31022</x:v>
      </x:c>
      <x:c r="H104" s="15" t="d">
        <x:v>2026-08-09T00:00:00.000Z</x:v>
      </x:c>
      <x:c r="I104" s="15" t="d">
        <x:v>2026-09-23T00:00:00.000Z</x:v>
      </x:c>
      <x:c r="J104" s="16" t="n">
        <x:v>4776000</x:v>
      </x:c>
      <x:c r="K104" s="2" t="str">
        <x:v>CLP</x:v>
      </x:c>
      <x:c r="L104" s="2" t="str">
        <x:v>Sí</x:v>
      </x:c>
      <x:c r="M104" s="2" t="str">
        <x:v>OC-38122</x:v>
      </x:c>
      <x:c r="N104" s="2" t="str">
        <x:v>Sí</x:v>
      </x:c>
      <x:c r="O104" s="2" t="str">
        <x:v>HES-35222</x:v>
      </x:c>
      <x:c r="P104" s="2" t="str">
        <x:v>Sí</x:v>
      </x:c>
      <x:c r="Q104" s="15" t="d">
        <x:v>2026-08-11T00:00:00.000Z</x:v>
      </x:c>
      <x:c r="R104" s="2" t="str">
        <x:v>aceptada</x:v>
      </x:c>
      <x:c r="S104" s="2" t="str">
        <x:v>pagada</x:v>
      </x:c>
      <x:c r="T104" s="15" t="d">
        <x:v>2026-09-22T00:00:00.000Z</x:v>
      </x:c>
      <x:c r="U104" s="2" t="str"/>
      <x:c r="V104" s="17" t="n">
        <x:f>IF(T104&lt;&gt;"",MAX(0,T104-I104),MAX(0,DATE(2026,10,14)-I104))</x:f>
        <x:v>0</x:v>
      </x:c>
      <x:c r="W104" s="2" t="str">
        <x:f>IF(T104="","Pendiente",IF(T104&lt;=I104,"Sí","No"))</x:f>
        <x:v>Sí</x:v>
      </x:c>
      <x:c r="X104" s="2" t="str">
        <x:v>evidencias/FAC-3-0023-comprobante.pdf</x:v>
      </x:c>
      <x:c r="Y104" s="2" t="str">
        <x:v>Problema documental resuelto antes del vencimiento</x:v>
      </x:c>
    </x:row>
    <x:row r="105">
      <x:c r="A105" s="2" t="str">
        <x:v>FAC-3-0024</x:v>
      </x:c>
      <x:c r="B105" s="2" t="str">
        <x:v>77345678-K</x:v>
      </x:c>
      <x:c r="C105" s="2" t="str">
        <x:v>Montajes Atacama SpA</x:v>
      </x:c>
      <x:c r="D105" s="2" t="str">
        <x:v>96000777-8</x:v>
      </x:c>
      <x:c r="E105" s="2" t="str">
        <x:v>Logística Andina SpA</x:v>
      </x:c>
      <x:c r="F105" s="2" t="str">
        <x:v>factura</x:v>
      </x:c>
      <x:c r="G105" s="2" t="str">
        <x:v>31023</x:v>
      </x:c>
      <x:c r="H105" s="15" t="d">
        <x:v>2026-08-12T00:00:00.000Z</x:v>
      </x:c>
      <x:c r="I105" s="15" t="d">
        <x:v>2026-09-11T00:00:00.000Z</x:v>
      </x:c>
      <x:c r="J105" s="16" t="n">
        <x:v>4949000</x:v>
      </x:c>
      <x:c r="K105" s="2" t="str">
        <x:v>CLP</x:v>
      </x:c>
      <x:c r="L105" s="2" t="str">
        <x:v>No</x:v>
      </x:c>
      <x:c r="M105" s="2" t="str"/>
      <x:c r="N105" s="2" t="str">
        <x:v>Sí</x:v>
      </x:c>
      <x:c r="O105" s="2" t="str">
        <x:v>HES-35223</x:v>
      </x:c>
      <x:c r="P105" s="2" t="str">
        <x:v>Sí</x:v>
      </x:c>
      <x:c r="Q105" s="15" t="d">
        <x:v>2026-08-14T00:00:00.000Z</x:v>
      </x:c>
      <x:c r="R105" s="2" t="str">
        <x:v>aceptada</x:v>
      </x:c>
      <x:c r="S105" s="2" t="str">
        <x:v>emitida</x:v>
      </x:c>
      <x:c r="T105" s="15"/>
      <x:c r="U105" s="2" t="str">
        <x:v>proceso_interno_pagador</x:v>
      </x:c>
      <x:c r="V105" s="17" t="n">
        <x:f>IF(T105&lt;&gt;"",MAX(0,T105-I105),MAX(0,DATE(2026,10,14)-I105))</x:f>
        <x:v>33</x:v>
      </x:c>
      <x:c r="W105" s="2" t="str">
        <x:f>IF(T105="","Pendiente",IF(T105&lt;=I105,"Sí","No"))</x:f>
        <x:v>Pendiente</x:v>
      </x:c>
      <x:c r="X105" s="2" t="str"/>
      <x:c r="Y105" s="2" t="str">
        <x:v>Factura aún dentro de plazo</x:v>
      </x:c>
    </x:row>
    <x:row r="106">
      <x:c r="A106" s="2" t="str">
        <x:v>FAC-3-0025</x:v>
      </x:c>
      <x:c r="B106" s="2" t="str">
        <x:v>77345678-K</x:v>
      </x:c>
      <x:c r="C106" s="2" t="str">
        <x:v>Montajes Atacama SpA</x:v>
      </x:c>
      <x:c r="D106" s="2" t="str">
        <x:v>96000888-K</x:v>
      </x:c>
      <x:c r="E106" s="2" t="str">
        <x:v>Clínica Metropolitana S.A.</x:v>
      </x:c>
      <x:c r="F106" s="2" t="str">
        <x:v>factura</x:v>
      </x:c>
      <x:c r="G106" s="2" t="str">
        <x:v>31024</x:v>
      </x:c>
      <x:c r="H106" s="15" t="d">
        <x:v>2026-08-15T00:00:00.000Z</x:v>
      </x:c>
      <x:c r="I106" s="15" t="d">
        <x:v>2026-09-14T00:00:00.000Z</x:v>
      </x:c>
      <x:c r="J106" s="16" t="n">
        <x:v>5122000</x:v>
      </x:c>
      <x:c r="K106" s="2" t="str">
        <x:v>CLP</x:v>
      </x:c>
      <x:c r="L106" s="2" t="str">
        <x:v>Sí</x:v>
      </x:c>
      <x:c r="M106" s="2" t="str">
        <x:v>OC-38124</x:v>
      </x:c>
      <x:c r="N106" s="2" t="str">
        <x:v>No</x:v>
      </x:c>
      <x:c r="O106" s="2" t="str"/>
      <x:c r="P106" s="2" t="str">
        <x:v>Sí</x:v>
      </x:c>
      <x:c r="Q106" s="15" t="d">
        <x:v>2026-08-17T00:00:00.000Z</x:v>
      </x:c>
      <x:c r="R106" s="2" t="str">
        <x:v>aceptada</x:v>
      </x:c>
      <x:c r="S106" s="2" t="str">
        <x:v>pagada</x:v>
      </x:c>
      <x:c r="T106" s="15" t="d">
        <x:v>2026-09-10T00:00:00.000Z</x:v>
      </x:c>
      <x:c r="U106" s="2" t="str"/>
      <x:c r="V106" s="17" t="n">
        <x:f>IF(T106&lt;&gt;"",MAX(0,T106-I106),MAX(0,DATE(2026,10,14)-I106))</x:f>
        <x:v>0</x:v>
      </x:c>
      <x:c r="W106" s="2" t="str">
        <x:f>IF(T106="","Pendiente",IF(T106&lt;=I106,"Sí","No"))</x:f>
        <x:v>Sí</x:v>
      </x:c>
      <x:c r="X106" s="2" t="str">
        <x:v>evidencias/FAC-3-0025-comprobante.pdf</x:v>
      </x:c>
      <x:c r="Y106" s="2" t="str">
        <x:v>Pago normal</x:v>
      </x:c>
    </x:row>
    <x:row r="107">
      <x:c r="A107" s="2" t="str">
        <x:v>FAC-3-0026</x:v>
      </x:c>
      <x:c r="B107" s="2" t="str">
        <x:v>77345678-K</x:v>
      </x:c>
      <x:c r="C107" s="2" t="str">
        <x:v>Montajes Atacama SpA</x:v>
      </x:c>
      <x:c r="D107" s="2" t="str">
        <x:v>96000111-7</x:v>
      </x:c>
      <x:c r="E107" s="2" t="str">
        <x:v>Minera Horizonte S.A.</x:v>
      </x:c>
      <x:c r="F107" s="2" t="str">
        <x:v>factura</x:v>
      </x:c>
      <x:c r="G107" s="2" t="str">
        <x:v>31025</x:v>
      </x:c>
      <x:c r="H107" s="15" t="d">
        <x:v>2026-08-18T00:00:00.000Z</x:v>
      </x:c>
      <x:c r="I107" s="15" t="d">
        <x:v>2026-10-02T00:00:00.000Z</x:v>
      </x:c>
      <x:c r="J107" s="16" t="n">
        <x:v>5295000</x:v>
      </x:c>
      <x:c r="K107" s="2" t="str">
        <x:v>CLP</x:v>
      </x:c>
      <x:c r="L107" s="2" t="str">
        <x:v>Sí</x:v>
      </x:c>
      <x:c r="M107" s="2" t="str">
        <x:v>OC-38125</x:v>
      </x:c>
      <x:c r="N107" s="2" t="str">
        <x:v>Sí</x:v>
      </x:c>
      <x:c r="O107" s="2" t="str">
        <x:v>HES-35225</x:v>
      </x:c>
      <x:c r="P107" s="2" t="str">
        <x:v>Sí</x:v>
      </x:c>
      <x:c r="Q107" s="15" t="d">
        <x:v>2026-08-20T00:00:00.000Z</x:v>
      </x:c>
      <x:c r="R107" s="2" t="str">
        <x:v>aceptada</x:v>
      </x:c>
      <x:c r="S107" s="2" t="str">
        <x:v>pagada</x:v>
      </x:c>
      <x:c r="T107" s="15" t="d">
        <x:v>2026-10-14T00:00:00.000Z</x:v>
      </x:c>
      <x:c r="U107" s="2" t="str">
        <x:v>documental_hes_conformidad</x:v>
      </x:c>
      <x:c r="V107" s="17" t="n">
        <x:f>IF(T107&lt;&gt;"",MAX(0,T107-I107),MAX(0,DATE(2026,10,14)-I107))</x:f>
        <x:v>12</x:v>
      </x:c>
      <x:c r="W107" s="2" t="str">
        <x:f>IF(T107="","Pendiente",IF(T107&lt;=I107,"Sí","No"))</x:f>
        <x:v>No</x:v>
      </x:c>
      <x:c r="X107" s="2" t="str">
        <x:v>evidencias/FAC-3-0026-comprobante.pdf</x:v>
      </x:c>
      <x:c r="Y107" s="2" t="str">
        <x:v>HES emitida después del vencimiento</x:v>
      </x:c>
    </x:row>
    <x:row r="108">
      <x:c r="A108" s="2" t="str">
        <x:v>FAC-3-0027</x:v>
      </x:c>
      <x:c r="B108" s="2" t="str">
        <x:v>77345678-K</x:v>
      </x:c>
      <x:c r="C108" s="2" t="str">
        <x:v>Montajes Atacama SpA</x:v>
      </x:c>
      <x:c r="D108" s="2" t="str">
        <x:v>96000222-9</x:v>
      </x:c>
      <x:c r="E108" s="2" t="str">
        <x:v>Retail Pórtico S.A.</x:v>
      </x:c>
      <x:c r="F108" s="2" t="str">
        <x:v>factura</x:v>
      </x:c>
      <x:c r="G108" s="2" t="str">
        <x:v>31026</x:v>
      </x:c>
      <x:c r="H108" s="15" t="d">
        <x:v>2026-08-21T00:00:00.000Z</x:v>
      </x:c>
      <x:c r="I108" s="15" t="d">
        <x:v>2026-09-20T00:00:00.000Z</x:v>
      </x:c>
      <x:c r="J108" s="16" t="n">
        <x:v>5468000</x:v>
      </x:c>
      <x:c r="K108" s="2" t="str">
        <x:v>CLP</x:v>
      </x:c>
      <x:c r="L108" s="2" t="str">
        <x:v>Sí</x:v>
      </x:c>
      <x:c r="M108" s="2" t="str">
        <x:v>OC-38126</x:v>
      </x:c>
      <x:c r="N108" s="2" t="str">
        <x:v>No</x:v>
      </x:c>
      <x:c r="O108" s="2" t="str"/>
      <x:c r="P108" s="2" t="str">
        <x:v>Sí</x:v>
      </x:c>
      <x:c r="Q108" s="15" t="d">
        <x:v>2026-09-26T00:00:00.000Z</x:v>
      </x:c>
      <x:c r="R108" s="2" t="str">
        <x:v>aceptada</x:v>
      </x:c>
      <x:c r="S108" s="2" t="str">
        <x:v>pagada</x:v>
      </x:c>
      <x:c r="T108" s="15" t="d">
        <x:v>2026-09-28T00:00:00.000Z</x:v>
      </x:c>
      <x:c r="U108" s="2" t="str">
        <x:v>documental_portal</x:v>
      </x:c>
      <x:c r="V108" s="17" t="n">
        <x:f>IF(T108&lt;&gt;"",MAX(0,T108-I108),MAX(0,DATE(2026,10,14)-I108))</x:f>
        <x:v>8</x:v>
      </x:c>
      <x:c r="W108" s="2" t="str">
        <x:f>IF(T108="","Pendiente",IF(T108&lt;=I108,"Sí","No"))</x:f>
        <x:v>No</x:v>
      </x:c>
      <x:c r="X108" s="2" t="str">
        <x:v>evidencias/FAC-3-0027-comprobante.pdf</x:v>
      </x:c>
      <x:c r="Y108" s="2" t="str">
        <x:v>Carga en portal completada tarde</x:v>
      </x:c>
    </x:row>
    <x:row r="109">
      <x:c r="A109" s="2" t="str">
        <x:v>FAC-3-0028</x:v>
      </x:c>
      <x:c r="B109" s="2" t="str">
        <x:v>77345678-K</x:v>
      </x:c>
      <x:c r="C109" s="2" t="str">
        <x:v>Montajes Atacama SpA</x:v>
      </x:c>
      <x:c r="D109" s="2" t="str">
        <x:v>96000666-6</x:v>
      </x:c>
      <x:c r="E109" s="2" t="str">
        <x:v>Celulosa Bosques del Sur S.A.</x:v>
      </x:c>
      <x:c r="F109" s="2" t="str">
        <x:v>factura</x:v>
      </x:c>
      <x:c r="G109" s="2" t="str">
        <x:v>31027</x:v>
      </x:c>
      <x:c r="H109" s="15" t="d">
        <x:v>2026-08-24T00:00:00.000Z</x:v>
      </x:c>
      <x:c r="I109" s="15" t="d">
        <x:v>2026-10-08T00:00:00.000Z</x:v>
      </x:c>
      <x:c r="J109" s="16" t="n">
        <x:v>5641000</x:v>
      </x:c>
      <x:c r="K109" s="2" t="str">
        <x:v>CLP</x:v>
      </x:c>
      <x:c r="L109" s="2" t="str">
        <x:v>Sí</x:v>
      </x:c>
      <x:c r="M109" s="2" t="str"/>
      <x:c r="N109" s="2" t="str">
        <x:v>Sí</x:v>
      </x:c>
      <x:c r="O109" s="2" t="str">
        <x:v>HES-35227</x:v>
      </x:c>
      <x:c r="P109" s="2" t="str">
        <x:v>Sí</x:v>
      </x:c>
      <x:c r="Q109" s="15" t="d">
        <x:v>2026-08-26T00:00:00.000Z</x:v>
      </x:c>
      <x:c r="R109" s="2" t="str">
        <x:v>aceptada</x:v>
      </x:c>
      <x:c r="S109" s="2" t="str">
        <x:v>emitida</x:v>
      </x:c>
      <x:c r="T109" s="15"/>
      <x:c r="U109" s="2" t="str">
        <x:v>documental_oc</x:v>
      </x:c>
      <x:c r="V109" s="17" t="n">
        <x:f>IF(T109&lt;&gt;"",MAX(0,T109-I109),MAX(0,DATE(2026,10,14)-I109))</x:f>
        <x:v>6</x:v>
      </x:c>
      <x:c r="W109" s="2" t="str">
        <x:f>IF(T109="","Pendiente",IF(T109&lt;=I109,"Sí","No"))</x:f>
        <x:v>Pendiente</x:v>
      </x:c>
      <x:c r="X109" s="2" t="str"/>
      <x:c r="Y109" s="2" t="str">
        <x:v>OC pendiente del solicitante</x:v>
      </x:c>
    </x:row>
    <x:row r="110">
      <x:c r="A110" s="2" t="str">
        <x:v>FAC-3-0029</x:v>
      </x:c>
      <x:c r="B110" s="2" t="str">
        <x:v>77345678-K</x:v>
      </x:c>
      <x:c r="C110" s="2" t="str">
        <x:v>Montajes Atacama SpA</x:v>
      </x:c>
      <x:c r="D110" s="2" t="str">
        <x:v>96000777-8</x:v>
      </x:c>
      <x:c r="E110" s="2" t="str">
        <x:v>Logística Andina SpA</x:v>
      </x:c>
      <x:c r="F110" s="2" t="str">
        <x:v>factura</x:v>
      </x:c>
      <x:c r="G110" s="2" t="str">
        <x:v>31028</x:v>
      </x:c>
      <x:c r="H110" s="15" t="d">
        <x:v>2026-08-27T00:00:00.000Z</x:v>
      </x:c>
      <x:c r="I110" s="15" t="d">
        <x:v>2026-09-26T00:00:00.000Z</x:v>
      </x:c>
      <x:c r="J110" s="16" t="n">
        <x:v>414000</x:v>
      </x:c>
      <x:c r="K110" s="2" t="str">
        <x:v>CLP</x:v>
      </x:c>
      <x:c r="L110" s="2" t="str">
        <x:v>No</x:v>
      </x:c>
      <x:c r="M110" s="2" t="str"/>
      <x:c r="N110" s="2" t="str">
        <x:v>Sí</x:v>
      </x:c>
      <x:c r="O110" s="2" t="str">
        <x:v>HES-35228</x:v>
      </x:c>
      <x:c r="P110" s="2" t="str">
        <x:v>Sí</x:v>
      </x:c>
      <x:c r="Q110" s="15" t="d">
        <x:v>2026-08-29T00:00:00.000Z</x:v>
      </x:c>
      <x:c r="R110" s="2" t="str">
        <x:v>aceptada</x:v>
      </x:c>
      <x:c r="S110" s="2" t="str">
        <x:v>emitida</x:v>
      </x:c>
      <x:c r="T110" s="15"/>
      <x:c r="U110" s="2" t="str">
        <x:v>proceso_interno_pagador</x:v>
      </x:c>
      <x:c r="V110" s="17" t="n">
        <x:f>IF(T110&lt;&gt;"",MAX(0,T110-I110),MAX(0,DATE(2026,10,14)-I110))</x:f>
        <x:v>18</x:v>
      </x:c>
      <x:c r="W110" s="2" t="str">
        <x:f>IF(T110="","Pendiente",IF(T110&lt;=I110,"Sí","No"))</x:f>
        <x:v>Pendiente</x:v>
      </x:c>
      <x:c r="X110" s="2" t="str"/>
      <x:c r="Y110" s="2" t="str">
        <x:v>Factura aprobada y programada para el próximo ciclo</x:v>
      </x:c>
    </x:row>
    <x:row r="111">
      <x:c r="A111" s="2" t="str">
        <x:v>FAC-3-0030</x:v>
      </x:c>
      <x:c r="B111" s="2" t="str">
        <x:v>77345678-K</x:v>
      </x:c>
      <x:c r="C111" s="2" t="str">
        <x:v>Montajes Atacama SpA</x:v>
      </x:c>
      <x:c r="D111" s="2" t="str">
        <x:v>96000888-K</x:v>
      </x:c>
      <x:c r="E111" s="2" t="str">
        <x:v>Clínica Metropolitana S.A.</x:v>
      </x:c>
      <x:c r="F111" s="2" t="str">
        <x:v>factura</x:v>
      </x:c>
      <x:c r="G111" s="2" t="str">
        <x:v>31029</x:v>
      </x:c>
      <x:c r="H111" s="15" t="d">
        <x:v>2026-08-30T00:00:00.000Z</x:v>
      </x:c>
      <x:c r="I111" s="15" t="d">
        <x:v>2026-09-29T00:00:00.000Z</x:v>
      </x:c>
      <x:c r="J111" s="16" t="n">
        <x:v>587000</x:v>
      </x:c>
      <x:c r="K111" s="2" t="str">
        <x:v>CLP</x:v>
      </x:c>
      <x:c r="L111" s="2" t="str">
        <x:v>Sí</x:v>
      </x:c>
      <x:c r="M111" s="2" t="str">
        <x:v>OC-38129</x:v>
      </x:c>
      <x:c r="N111" s="2" t="str">
        <x:v>No</x:v>
      </x:c>
      <x:c r="O111" s="2" t="str"/>
      <x:c r="P111" s="2" t="str">
        <x:v>Sí</x:v>
      </x:c>
      <x:c r="Q111" s="15" t="d">
        <x:v>2026-09-01T00:00:00.000Z</x:v>
      </x:c>
      <x:c r="R111" s="2" t="str">
        <x:v>reclamada</x:v>
      </x:c>
      <x:c r="S111" s="2" t="str">
        <x:v>reclamada</x:v>
      </x:c>
      <x:c r="T111" s="15"/>
      <x:c r="U111" s="2" t="str">
        <x:v>documental_sii</x:v>
      </x:c>
      <x:c r="V111" s="17" t="n">
        <x:f>IF(T111&lt;&gt;"",MAX(0,T111-I111),MAX(0,DATE(2026,10,14)-I111))</x:f>
        <x:v>15</x:v>
      </x:c>
      <x:c r="W111" s="2" t="str">
        <x:f>IF(T111="","Pendiente",IF(T111&lt;=I111,"Sí","No"))</x:f>
        <x:v>Pendiente</x:v>
      </x:c>
      <x:c r="X111" s="2" t="str"/>
      <x:c r="Y111" s="2" t="str">
        <x:v>Reclamo por referencia contractual incompleta</x:v>
      </x:c>
    </x:row>
    <x:row r="112">
      <x:c r="A112" s="2" t="str">
        <x:v>FAC-3-0031</x:v>
      </x:c>
      <x:c r="B112" s="2" t="str">
        <x:v>77345678-K</x:v>
      </x:c>
      <x:c r="C112" s="2" t="str">
        <x:v>Montajes Atacama SpA</x:v>
      </x:c>
      <x:c r="D112" s="2" t="str">
        <x:v>96000111-7</x:v>
      </x:c>
      <x:c r="E112" s="2" t="str">
        <x:v>Minera Horizonte S.A.</x:v>
      </x:c>
      <x:c r="F112" s="2" t="str">
        <x:v>factura</x:v>
      </x:c>
      <x:c r="G112" s="2" t="str">
        <x:v>31030</x:v>
      </x:c>
      <x:c r="H112" s="15" t="d">
        <x:v>2026-09-02T00:00:00.000Z</x:v>
      </x:c>
      <x:c r="I112" s="15" t="d">
        <x:v>2026-10-17T00:00:00.000Z</x:v>
      </x:c>
      <x:c r="J112" s="16" t="n">
        <x:v>760000</x:v>
      </x:c>
      <x:c r="K112" s="2" t="str">
        <x:v>CLP</x:v>
      </x:c>
      <x:c r="L112" s="2" t="str">
        <x:v>Sí</x:v>
      </x:c>
      <x:c r="M112" s="2" t="str">
        <x:v>OC-38130</x:v>
      </x:c>
      <x:c r="N112" s="2" t="str">
        <x:v>Sí</x:v>
      </x:c>
      <x:c r="O112" s="2" t="str">
        <x:v>HES-35230</x:v>
      </x:c>
      <x:c r="P112" s="2" t="str">
        <x:v>Sí</x:v>
      </x:c>
      <x:c r="Q112" s="15" t="d">
        <x:v>2026-09-04T00:00:00.000Z</x:v>
      </x:c>
      <x:c r="R112" s="2" t="str">
        <x:v>aceptada</x:v>
      </x:c>
      <x:c r="S112" s="2" t="str">
        <x:v>disputa</x:v>
      </x:c>
      <x:c r="T112" s="15"/>
      <x:c r="U112" s="2" t="str">
        <x:v>disputa_comercial</x:v>
      </x:c>
      <x:c r="V112" s="17" t="n">
        <x:f>IF(T112&lt;&gt;"",MAX(0,T112-I112),MAX(0,DATE(2026,10,14)-I112))</x:f>
        <x:v>0</x:v>
      </x:c>
      <x:c r="W112" s="2" t="str">
        <x:f>IF(T112="","Pendiente",IF(T112&lt;=I112,"Sí","No"))</x:f>
        <x:v>Pendiente</x:v>
      </x:c>
      <x:c r="X112" s="2" t="str"/>
      <x:c r="Y112" s="2" t="str">
        <x:v>Diferencia sobre alcance del servicio; requiere intervención humana</x:v>
      </x:c>
    </x:row>
    <x:row r="113">
      <x:c r="A113" s="2" t="str">
        <x:v>FAC-3-0032</x:v>
      </x:c>
      <x:c r="B113" s="2" t="str">
        <x:v>77345678-K</x:v>
      </x:c>
      <x:c r="C113" s="2" t="str">
        <x:v>Montajes Atacama SpA</x:v>
      </x:c>
      <x:c r="D113" s="2" t="str">
        <x:v>96000222-9</x:v>
      </x:c>
      <x:c r="E113" s="2" t="str">
        <x:v>Retail Pórtico S.A.</x:v>
      </x:c>
      <x:c r="F113" s="2" t="str">
        <x:v>factura</x:v>
      </x:c>
      <x:c r="G113" s="2" t="str">
        <x:v>31031</x:v>
      </x:c>
      <x:c r="H113" s="15" t="d">
        <x:v>2026-09-05T00:00:00.000Z</x:v>
      </x:c>
      <x:c r="I113" s="15" t="d">
        <x:v>2026-10-05T00:00:00.000Z</x:v>
      </x:c>
      <x:c r="J113" s="16" t="n">
        <x:v>933000</x:v>
      </x:c>
      <x:c r="K113" s="2" t="str">
        <x:v>CLP</x:v>
      </x:c>
      <x:c r="L113" s="2" t="str">
        <x:v>Sí</x:v>
      </x:c>
      <x:c r="M113" s="2" t="str">
        <x:v>OC-38131</x:v>
      </x:c>
      <x:c r="N113" s="2" t="str">
        <x:v>No</x:v>
      </x:c>
      <x:c r="O113" s="2" t="str"/>
      <x:c r="P113" s="2" t="str">
        <x:v>Sí</x:v>
      </x:c>
      <x:c r="Q113" s="15" t="d">
        <x:v>2026-09-07T00:00:00.000Z</x:v>
      </x:c>
      <x:c r="R113" s="2" t="str">
        <x:v>aceptada</x:v>
      </x:c>
      <x:c r="S113" s="2" t="str">
        <x:v>emitida</x:v>
      </x:c>
      <x:c r="T113" s="15"/>
      <x:c r="U113" s="2" t="str">
        <x:v>liquidez_pagador</x:v>
      </x:c>
      <x:c r="V113" s="17" t="n">
        <x:f>IF(T113&lt;&gt;"",MAX(0,T113-I113),MAX(0,DATE(2026,10,14)-I113))</x:f>
        <x:v>9</x:v>
      </x:c>
      <x:c r="W113" s="2" t="str">
        <x:f>IF(T113="","Pendiente",IF(T113&lt;=I113,"Sí","No"))</x:f>
        <x:v>Pendiente</x:v>
      </x:c>
      <x:c r="X113" s="2" t="str"/>
      <x:c r="Y113" s="2" t="str">
        <x:v>Caso abierto; fecha proyectada posterior a la fecha de corte</x:v>
      </x:c>
    </x:row>
    <x:row r="114">
      <x:c r="A114" s="2" t="str">
        <x:v>FAC-3-0033</x:v>
      </x:c>
      <x:c r="B114" s="2" t="str">
        <x:v>77345678-K</x:v>
      </x:c>
      <x:c r="C114" s="2" t="str">
        <x:v>Montajes Atacama SpA</x:v>
      </x:c>
      <x:c r="D114" s="2" t="str">
        <x:v>96000666-6</x:v>
      </x:c>
      <x:c r="E114" s="2" t="str">
        <x:v>Celulosa Bosques del Sur S.A.</x:v>
      </x:c>
      <x:c r="F114" s="2" t="str">
        <x:v>factura</x:v>
      </x:c>
      <x:c r="G114" s="2" t="str">
        <x:v>31032</x:v>
      </x:c>
      <x:c r="H114" s="15" t="d">
        <x:v>2026-09-08T00:00:00.000Z</x:v>
      </x:c>
      <x:c r="I114" s="15" t="d">
        <x:v>2026-10-23T00:00:00.000Z</x:v>
      </x:c>
      <x:c r="J114" s="16" t="n">
        <x:v>1106000</x:v>
      </x:c>
      <x:c r="K114" s="2" t="str">
        <x:v>CLP</x:v>
      </x:c>
      <x:c r="L114" s="2" t="str">
        <x:v>Sí</x:v>
      </x:c>
      <x:c r="M114" s="2" t="str">
        <x:v>OC-38132</x:v>
      </x:c>
      <x:c r="N114" s="2" t="str">
        <x:v>Sí</x:v>
      </x:c>
      <x:c r="O114" s="2" t="str">
        <x:v>HES-35232</x:v>
      </x:c>
      <x:c r="P114" s="2" t="str">
        <x:v>Sí</x:v>
      </x:c>
      <x:c r="Q114" s="15" t="d">
        <x:v>2026-09-10T00:00:00.000Z</x:v>
      </x:c>
      <x:c r="R114" s="2" t="str">
        <x:v>aceptada</x:v>
      </x:c>
      <x:c r="S114" s="2" t="str">
        <x:v>emitida</x:v>
      </x:c>
      <x:c r="T114" s="15"/>
      <x:c r="U114" s="2" t="str"/>
      <x:c r="V114" s="17" t="n">
        <x:f>IF(T114&lt;&gt;"",MAX(0,T114-I114),MAX(0,DATE(2026,10,14)-I114))</x:f>
        <x:v>0</x:v>
      </x:c>
      <x:c r="W114" s="2" t="str">
        <x:f>IF(T114="","Pendiente",IF(T114&lt;=I114,"Sí","No"))</x:f>
        <x:v>Pendiente</x:v>
      </x:c>
      <x:c r="X114" s="2" t="str"/>
      <x:c r="Y114" s="2" t="str"/>
    </x:row>
    <x:row r="115">
      <x:c r="A115" s="2" t="str">
        <x:v>FAC-3-0034</x:v>
      </x:c>
      <x:c r="B115" s="2" t="str">
        <x:v>77345678-K</x:v>
      </x:c>
      <x:c r="C115" s="2" t="str">
        <x:v>Montajes Atacama SpA</x:v>
      </x:c>
      <x:c r="D115" s="2" t="str">
        <x:v>96000777-8</x:v>
      </x:c>
      <x:c r="E115" s="2" t="str">
        <x:v>Logística Andina SpA</x:v>
      </x:c>
      <x:c r="F115" s="2" t="str">
        <x:v>factura</x:v>
      </x:c>
      <x:c r="G115" s="2" t="str">
        <x:v>31033</x:v>
      </x:c>
      <x:c r="H115" s="15" t="d">
        <x:v>2026-09-11T00:00:00.000Z</x:v>
      </x:c>
      <x:c r="I115" s="15" t="d">
        <x:v>2026-10-11T00:00:00.000Z</x:v>
      </x:c>
      <x:c r="J115" s="16" t="n">
        <x:v>1279000</x:v>
      </x:c>
      <x:c r="K115" s="2" t="str">
        <x:v>CLP</x:v>
      </x:c>
      <x:c r="L115" s="2" t="str">
        <x:v>No</x:v>
      </x:c>
      <x:c r="M115" s="2" t="str"/>
      <x:c r="N115" s="2" t="str">
        <x:v>Sí</x:v>
      </x:c>
      <x:c r="O115" s="2" t="str">
        <x:v>HES-35233</x:v>
      </x:c>
      <x:c r="P115" s="2" t="str">
        <x:v>Sí</x:v>
      </x:c>
      <x:c r="Q115" s="15" t="d">
        <x:v>2026-09-13T00:00:00.000Z</x:v>
      </x:c>
      <x:c r="R115" s="2" t="str">
        <x:v>aceptada</x:v>
      </x:c>
      <x:c r="S115" s="2" t="str">
        <x:v>emitida</x:v>
      </x:c>
      <x:c r="T115" s="15"/>
      <x:c r="U115" s="2" t="str">
        <x:v>proceso_interno_pagador</x:v>
      </x:c>
      <x:c r="V115" s="17" t="n">
        <x:f>IF(T115&lt;&gt;"",MAX(0,T115-I115),MAX(0,DATE(2026,10,14)-I115))</x:f>
        <x:v>3</x:v>
      </x:c>
      <x:c r="W115" s="2" t="str">
        <x:f>IF(T115="","Pendiente",IF(T115&lt;=I115,"Sí","No"))</x:f>
        <x:v>Pendiente</x:v>
      </x:c>
      <x:c r="X115" s="2" t="str"/>
      <x:c r="Y115" s="2" t="str">
        <x:v>Factura aún dentro de plazo</x:v>
      </x:c>
    </x:row>
    <x:row r="116">
      <x:c r="A116" s="2" t="str">
        <x:v>FAC-3-0035</x:v>
      </x:c>
      <x:c r="B116" s="2" t="str">
        <x:v>77345678-K</x:v>
      </x:c>
      <x:c r="C116" s="2" t="str">
        <x:v>Montajes Atacama SpA</x:v>
      </x:c>
      <x:c r="D116" s="2" t="str">
        <x:v>96000888-K</x:v>
      </x:c>
      <x:c r="E116" s="2" t="str">
        <x:v>Clínica Metropolitana S.A.</x:v>
      </x:c>
      <x:c r="F116" s="2" t="str">
        <x:v>factura</x:v>
      </x:c>
      <x:c r="G116" s="2" t="str">
        <x:v>31034</x:v>
      </x:c>
      <x:c r="H116" s="15" t="d">
        <x:v>2026-09-14T00:00:00.000Z</x:v>
      </x:c>
      <x:c r="I116" s="15" t="d">
        <x:v>2026-10-14T00:00:00.000Z</x:v>
      </x:c>
      <x:c r="J116" s="16" t="n">
        <x:v>1452000</x:v>
      </x:c>
      <x:c r="K116" s="2" t="str">
        <x:v>CLP</x:v>
      </x:c>
      <x:c r="L116" s="2" t="str">
        <x:v>Sí</x:v>
      </x:c>
      <x:c r="M116" s="2" t="str">
        <x:v>OC-38134</x:v>
      </x:c>
      <x:c r="N116" s="2" t="str">
        <x:v>No</x:v>
      </x:c>
      <x:c r="O116" s="2" t="str"/>
      <x:c r="P116" s="2" t="str">
        <x:v>Sí</x:v>
      </x:c>
      <x:c r="Q116" s="15" t="d">
        <x:v>2026-09-16T00:00:00.000Z</x:v>
      </x:c>
      <x:c r="R116" s="2" t="str">
        <x:v>aceptada</x:v>
      </x:c>
      <x:c r="S116" s="2" t="str">
        <x:v>pagada</x:v>
      </x:c>
      <x:c r="T116" s="15" t="d">
        <x:v>2026-10-10T00:00:00.000Z</x:v>
      </x:c>
      <x:c r="U116" s="2" t="str"/>
      <x:c r="V116" s="17" t="n">
        <x:f>IF(T116&lt;&gt;"",MAX(0,T116-I116),MAX(0,DATE(2026,10,14)-I116))</x:f>
        <x:v>0</x:v>
      </x:c>
      <x:c r="W116" s="2" t="str">
        <x:f>IF(T116="","Pendiente",IF(T116&lt;=I116,"Sí","No"))</x:f>
        <x:v>Sí</x:v>
      </x:c>
      <x:c r="X116" s="2" t="str">
        <x:v>evidencias/FAC-3-0035-comprobante.pdf</x:v>
      </x:c>
      <x:c r="Y116" s="2" t="str">
        <x:v>Pago normal</x:v>
      </x:c>
    </x:row>
    <x:row r="117">
      <x:c r="A117" s="2" t="str">
        <x:v>FAC-3-0036</x:v>
      </x:c>
      <x:c r="B117" s="2" t="str">
        <x:v>77345678-K</x:v>
      </x:c>
      <x:c r="C117" s="2" t="str">
        <x:v>Montajes Atacama SpA</x:v>
      </x:c>
      <x:c r="D117" s="2" t="str">
        <x:v>96000111-7</x:v>
      </x:c>
      <x:c r="E117" s="2" t="str">
        <x:v>Minera Horizonte S.A.</x:v>
      </x:c>
      <x:c r="F117" s="2" t="str">
        <x:v>factura</x:v>
      </x:c>
      <x:c r="G117" s="2" t="str">
        <x:v>31035</x:v>
      </x:c>
      <x:c r="H117" s="15" t="d">
        <x:v>2026-09-17T00:00:00.000Z</x:v>
      </x:c>
      <x:c r="I117" s="15" t="d">
        <x:v>2026-11-01T00:00:00.000Z</x:v>
      </x:c>
      <x:c r="J117" s="16" t="n">
        <x:v>1625000</x:v>
      </x:c>
      <x:c r="K117" s="2" t="str">
        <x:v>CLP</x:v>
      </x:c>
      <x:c r="L117" s="2" t="str">
        <x:v>Sí</x:v>
      </x:c>
      <x:c r="M117" s="2" t="str">
        <x:v>OC-38135</x:v>
      </x:c>
      <x:c r="N117" s="2" t="str">
        <x:v>Sí</x:v>
      </x:c>
      <x:c r="O117" s="2" t="str"/>
      <x:c r="P117" s="2" t="str">
        <x:v>Sí</x:v>
      </x:c>
      <x:c r="Q117" s="15" t="d">
        <x:v>2026-09-19T00:00:00.000Z</x:v>
      </x:c>
      <x:c r="R117" s="2" t="str">
        <x:v>aceptada</x:v>
      </x:c>
      <x:c r="S117" s="2" t="str">
        <x:v>emitida</x:v>
      </x:c>
      <x:c r="T117" s="15"/>
      <x:c r="U117" s="2" t="str">
        <x:v>documental_hes_conformidad</x:v>
      </x:c>
      <x:c r="V117" s="17" t="n">
        <x:f>IF(T117&lt;&gt;"",MAX(0,T117-I117),MAX(0,DATE(2026,10,14)-I117))</x:f>
        <x:v>0</x:v>
      </x:c>
      <x:c r="W117" s="2" t="str">
        <x:f>IF(T117="","Pendiente",IF(T117&lt;=I117,"Sí","No"))</x:f>
        <x:v>Pendiente</x:v>
      </x:c>
      <x:c r="X117" s="2" t="str"/>
      <x:c r="Y117" s="2" t="str">
        <x:v>Caso abierto; fecha proyectada posterior a la fecha de corte</x:v>
      </x:c>
    </x:row>
    <x:row r="118">
      <x:c r="A118" s="2" t="str">
        <x:v>FAC-3-0037</x:v>
      </x:c>
      <x:c r="B118" s="2" t="str">
        <x:v>77345678-K</x:v>
      </x:c>
      <x:c r="C118" s="2" t="str">
        <x:v>Montajes Atacama SpA</x:v>
      </x:c>
      <x:c r="D118" s="2" t="str">
        <x:v>96000222-9</x:v>
      </x:c>
      <x:c r="E118" s="2" t="str">
        <x:v>Retail Pórtico S.A.</x:v>
      </x:c>
      <x:c r="F118" s="2" t="str">
        <x:v>factura</x:v>
      </x:c>
      <x:c r="G118" s="2" t="str">
        <x:v>31036</x:v>
      </x:c>
      <x:c r="H118" s="15" t="d">
        <x:v>2026-09-20T00:00:00.000Z</x:v>
      </x:c>
      <x:c r="I118" s="15" t="d">
        <x:v>2026-10-20T00:00:00.000Z</x:v>
      </x:c>
      <x:c r="J118" s="16" t="n">
        <x:v>1798000</x:v>
      </x:c>
      <x:c r="K118" s="2" t="str">
        <x:v>CLP</x:v>
      </x:c>
      <x:c r="L118" s="2" t="str">
        <x:v>Sí</x:v>
      </x:c>
      <x:c r="M118" s="2" t="str">
        <x:v>OC-38136</x:v>
      </x:c>
      <x:c r="N118" s="2" t="str">
        <x:v>No</x:v>
      </x:c>
      <x:c r="O118" s="2" t="str"/>
      <x:c r="P118" s="2" t="str">
        <x:v>Sí</x:v>
      </x:c>
      <x:c r="Q118" s="15"/>
      <x:c r="R118" s="2" t="str">
        <x:v>aceptada</x:v>
      </x:c>
      <x:c r="S118" s="2" t="str">
        <x:v>emitida</x:v>
      </x:c>
      <x:c r="T118" s="15"/>
      <x:c r="U118" s="2" t="str">
        <x:v>documental_portal</x:v>
      </x:c>
      <x:c r="V118" s="17" t="n">
        <x:f>IF(T118&lt;&gt;"",MAX(0,T118-I118),MAX(0,DATE(2026,10,14)-I118))</x:f>
        <x:v>0</x:v>
      </x:c>
      <x:c r="W118" s="2" t="str">
        <x:f>IF(T118="","Pendiente",IF(T118&lt;=I118,"Sí","No"))</x:f>
        <x:v>Pendiente</x:v>
      </x:c>
      <x:c r="X118" s="2" t="str"/>
      <x:c r="Y118" s="2" t="str">
        <x:v>Caso abierto; fecha proyectada posterior a la fecha de corte</x:v>
      </x:c>
    </x:row>
    <x:row r="119">
      <x:c r="A119" s="2" t="str">
        <x:v>FAC-3-0038</x:v>
      </x:c>
      <x:c r="B119" s="2" t="str">
        <x:v>77345678-K</x:v>
      </x:c>
      <x:c r="C119" s="2" t="str">
        <x:v>Montajes Atacama SpA</x:v>
      </x:c>
      <x:c r="D119" s="2" t="str">
        <x:v>96000666-6</x:v>
      </x:c>
      <x:c r="E119" s="2" t="str">
        <x:v>Celulosa Bosques del Sur S.A.</x:v>
      </x:c>
      <x:c r="F119" s="2" t="str">
        <x:v>factura</x:v>
      </x:c>
      <x:c r="G119" s="2" t="str">
        <x:v>31037</x:v>
      </x:c>
      <x:c r="H119" s="15" t="d">
        <x:v>2026-09-23T00:00:00.000Z</x:v>
      </x:c>
      <x:c r="I119" s="15" t="d">
        <x:v>2026-11-07T00:00:00.000Z</x:v>
      </x:c>
      <x:c r="J119" s="16" t="n">
        <x:v>1971000</x:v>
      </x:c>
      <x:c r="K119" s="2" t="str">
        <x:v>CLP</x:v>
      </x:c>
      <x:c r="L119" s="2" t="str">
        <x:v>Sí</x:v>
      </x:c>
      <x:c r="M119" s="2" t="str"/>
      <x:c r="N119" s="2" t="str">
        <x:v>Sí</x:v>
      </x:c>
      <x:c r="O119" s="2" t="str">
        <x:v>HES-35237</x:v>
      </x:c>
      <x:c r="P119" s="2" t="str">
        <x:v>Sí</x:v>
      </x:c>
      <x:c r="Q119" s="15" t="d">
        <x:v>2026-09-25T00:00:00.000Z</x:v>
      </x:c>
      <x:c r="R119" s="2" t="str">
        <x:v>aceptada</x:v>
      </x:c>
      <x:c r="S119" s="2" t="str">
        <x:v>emitida</x:v>
      </x:c>
      <x:c r="T119" s="15"/>
      <x:c r="U119" s="2" t="str"/>
      <x:c r="V119" s="17" t="n">
        <x:f>IF(T119&lt;&gt;"",MAX(0,T119-I119),MAX(0,DATE(2026,10,14)-I119))</x:f>
        <x:v>0</x:v>
      </x:c>
      <x:c r="W119" s="2" t="str">
        <x:f>IF(T119="","Pendiente",IF(T119&lt;=I119,"Sí","No"))</x:f>
        <x:v>Pendiente</x:v>
      </x:c>
      <x:c r="X119" s="2" t="str"/>
      <x:c r="Y119" s="2" t="str">
        <x:v>OC pendiente del solicitante</x:v>
      </x:c>
    </x:row>
    <x:row r="120">
      <x:c r="A120" s="2" t="str">
        <x:v>FAC-3-0039</x:v>
      </x:c>
      <x:c r="B120" s="2" t="str">
        <x:v>77345678-K</x:v>
      </x:c>
      <x:c r="C120" s="2" t="str">
        <x:v>Montajes Atacama SpA</x:v>
      </x:c>
      <x:c r="D120" s="2" t="str">
        <x:v>96000777-8</x:v>
      </x:c>
      <x:c r="E120" s="2" t="str">
        <x:v>Logística Andina SpA</x:v>
      </x:c>
      <x:c r="F120" s="2" t="str">
        <x:v>factura</x:v>
      </x:c>
      <x:c r="G120" s="2" t="str">
        <x:v>31038</x:v>
      </x:c>
      <x:c r="H120" s="15" t="d">
        <x:v>2026-09-26T00:00:00.000Z</x:v>
      </x:c>
      <x:c r="I120" s="15" t="d">
        <x:v>2026-10-26T00:00:00.000Z</x:v>
      </x:c>
      <x:c r="J120" s="16" t="n">
        <x:v>2144000</x:v>
      </x:c>
      <x:c r="K120" s="2" t="str">
        <x:v>CLP</x:v>
      </x:c>
      <x:c r="L120" s="2" t="str">
        <x:v>No</x:v>
      </x:c>
      <x:c r="M120" s="2" t="str"/>
      <x:c r="N120" s="2" t="str">
        <x:v>Sí</x:v>
      </x:c>
      <x:c r="O120" s="2" t="str">
        <x:v>HES-35238</x:v>
      </x:c>
      <x:c r="P120" s="2" t="str">
        <x:v>Sí</x:v>
      </x:c>
      <x:c r="Q120" s="15" t="d">
        <x:v>2026-09-28T00:00:00.000Z</x:v>
      </x:c>
      <x:c r="R120" s="2" t="str">
        <x:v>aceptada</x:v>
      </x:c>
      <x:c r="S120" s="2" t="str">
        <x:v>emitida</x:v>
      </x:c>
      <x:c r="T120" s="15"/>
      <x:c r="U120" s="2" t="str"/>
      <x:c r="V120" s="17" t="n">
        <x:f>IF(T120&lt;&gt;"",MAX(0,T120-I120),MAX(0,DATE(2026,10,14)-I120))</x:f>
        <x:v>0</x:v>
      </x:c>
      <x:c r="W120" s="2" t="str">
        <x:f>IF(T120="","Pendiente",IF(T120&lt;=I120,"Sí","No"))</x:f>
        <x:v>Pendiente</x:v>
      </x:c>
      <x:c r="X120" s="2" t="str"/>
      <x:c r="Y120" s="2" t="str">
        <x:v>Factura aprobada y programada para el próximo ciclo</x:v>
      </x:c>
    </x:row>
    <x:row r="121">
      <x:c r="A121" s="2" t="str">
        <x:v>FAC-3-0040</x:v>
      </x:c>
      <x:c r="B121" s="2" t="str">
        <x:v>77345678-K</x:v>
      </x:c>
      <x:c r="C121" s="2" t="str">
        <x:v>Montajes Atacama SpA</x:v>
      </x:c>
      <x:c r="D121" s="2" t="str">
        <x:v>96000888-K</x:v>
      </x:c>
      <x:c r="E121" s="2" t="str">
        <x:v>Clínica Metropolitana S.A.</x:v>
      </x:c>
      <x:c r="F121" s="2" t="str">
        <x:v>factura</x:v>
      </x:c>
      <x:c r="G121" s="2" t="str">
        <x:v>31039</x:v>
      </x:c>
      <x:c r="H121" s="15" t="d">
        <x:v>2026-09-29T00:00:00.000Z</x:v>
      </x:c>
      <x:c r="I121" s="15" t="d">
        <x:v>2026-10-29T00:00:00.000Z</x:v>
      </x:c>
      <x:c r="J121" s="16" t="n">
        <x:v>2317000</x:v>
      </x:c>
      <x:c r="K121" s="2" t="str">
        <x:v>CLP</x:v>
      </x:c>
      <x:c r="L121" s="2" t="str">
        <x:v>Sí</x:v>
      </x:c>
      <x:c r="M121" s="2" t="str">
        <x:v>OC-38139</x:v>
      </x:c>
      <x:c r="N121" s="2" t="str">
        <x:v>No</x:v>
      </x:c>
      <x:c r="O121" s="2" t="str"/>
      <x:c r="P121" s="2" t="str">
        <x:v>Sí</x:v>
      </x:c>
      <x:c r="Q121" s="15" t="d">
        <x:v>2026-10-01T00:00:00.000Z</x:v>
      </x:c>
      <x:c r="R121" s="2" t="str">
        <x:v>reclamada</x:v>
      </x:c>
      <x:c r="S121" s="2" t="str">
        <x:v>reclamada</x:v>
      </x:c>
      <x:c r="T121" s="15"/>
      <x:c r="U121" s="2" t="str">
        <x:v>documental_sii</x:v>
      </x:c>
      <x:c r="V121" s="17" t="n">
        <x:f>IF(T121&lt;&gt;"",MAX(0,T121-I121),MAX(0,DATE(2026,10,14)-I121))</x:f>
        <x:v>0</x:v>
      </x:c>
      <x:c r="W121" s="2" t="str">
        <x:f>IF(T121="","Pendiente",IF(T121&lt;=I121,"Sí","No"))</x:f>
        <x:v>Pendiente</x:v>
      </x:c>
      <x:c r="X121" s="2" t="str"/>
      <x:c r="Y121" s="2" t="str">
        <x:v>Reclamo por referencia contractual incompleta</x:v>
      </x:c>
    </x:row>
  </x:sheetData>
  <x:conditionalFormatting sqref="S2:S121">
    <x:cfRule type="containsText" dxfId="0" priority="1" operator="containsText" text="reclamada"/>
    <x:cfRule type="containsText" dxfId="1" priority="2" operator="containsText" text="disputa"/>
  </x:conditionalFormatting>
  <x:conditionalFormatting sqref="W2:W121"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e60ff2036054418"/>
  </x:tableParts>
</x:worksheet>
</file>

<file path=xl/worksheets/sheet3.xml><?xml version="1.0" encoding="utf-8"?>
<x:worksheet xmlns:x="http://schemas.openxmlformats.org/spreadsheetml/2006/main">
  <x:sheetPr>
    <x:tabColor rgb="FF62A8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80000114440918" hidden="0" customWidth="1"/>
    <x:col min="2" max="2" width="11.25" hidden="0" customWidth="1"/>
    <x:col min="3" max="3" width="30" hidden="0" customWidth="1"/>
    <x:col min="4" max="4" width="13.5" hidden="0" customWidth="1"/>
    <x:col min="5" max="5" width="34" hidden="0" customWidth="1"/>
    <x:col min="6" max="6" width="16.75" hidden="0" customWidth="1"/>
    <x:col min="7" max="7" width="14" hidden="0" customWidth="1"/>
    <x:col min="8" max="8" width="32" hidden="0" customWidth="1"/>
    <x:col min="9" max="9" width="10.75" hidden="0" customWidth="1"/>
    <x:col min="10" max="10" width="15.25" hidden="0" customWidth="1"/>
  </x:cols>
  <x:sheetData>
    <x:row r="1" ht="34" customHeight="1">
      <x:c r="A1" s="11" t="str">
        <x:v>Contacto ID</x:v>
      </x:c>
      <x:c r="B1" s="12" t="str">
        <x:v>RUT pyme</x:v>
      </x:c>
      <x:c r="C1" s="12" t="str">
        <x:v>Pyme</x:v>
      </x:c>
      <x:c r="D1" s="12" t="str">
        <x:v>RUT pagador</x:v>
      </x:c>
      <x:c r="E1" s="12" t="str">
        <x:v>Razón social</x:v>
      </x:c>
      <x:c r="F1" s="12" t="str">
        <x:v>Nombre contacto</x:v>
      </x:c>
      <x:c r="G1" s="12" t="str">
        <x:v>Rol</x:v>
      </x:c>
      <x:c r="H1" s="12" t="str">
        <x:v>Correo</x:v>
      </x:c>
      <x:c r="I1" s="12" t="str">
        <x:v>Teléfono</x:v>
      </x:c>
      <x:c r="J1" s="13" t="str">
        <x:v>Canal preferido</x:v>
      </x:c>
    </x:row>
    <x:row r="2">
      <x:c r="A2" s="2" t="str">
        <x:v>CONT-001</x:v>
      </x:c>
      <x:c r="B2" s="2" t="str">
        <x:v>76123456-0</x:v>
      </x:c>
      <x:c r="C2" s="2" t="str">
        <x:v>Servicios Cordillera SpA</x:v>
      </x:c>
      <x:c r="D2" s="2" t="str">
        <x:v>96000111-7</x:v>
      </x:c>
      <x:c r="E2" s="2" t="str">
        <x:v>Minera Horizonte S.A.</x:v>
      </x:c>
      <x:c r="F2" s="2" t="str">
        <x:v>Camila Silva</x:v>
      </x:c>
      <x:c r="G2" s="2" t="str">
        <x:v>accounts_payable</x:v>
      </x:c>
      <x:c r="H2" s="2" t="str">
        <x:v>contacto1@example.com</x:v>
      </x:c>
      <x:c r="I2" s="2" t="str">
        <x:v>+56941000000</x:v>
      </x:c>
      <x:c r="J2" s="2" t="str">
        <x:v>email</x:v>
      </x:c>
    </x:row>
    <x:row r="3">
      <x:c r="A3" s="2" t="str">
        <x:v>CONT-002</x:v>
      </x:c>
      <x:c r="B3" s="2" t="str">
        <x:v>76123456-0</x:v>
      </x:c>
      <x:c r="C3" s="2" t="str">
        <x:v>Servicios Cordillera SpA</x:v>
      </x:c>
      <x:c r="D3" s="2" t="str">
        <x:v>96000222-9</x:v>
      </x:c>
      <x:c r="E3" s="2" t="str">
        <x:v>Retail Pórtico S.A.</x:v>
      </x:c>
      <x:c r="F3" s="2" t="str">
        <x:v>Tomás Contreras</x:v>
      </x:c>
      <x:c r="G3" s="2" t="str">
        <x:v>requester</x:v>
      </x:c>
      <x:c r="H3" s="2" t="str">
        <x:v>contacto2@example.com</x:v>
      </x:c>
      <x:c r="I3" s="2" t="str">
        <x:v>+56941000137</x:v>
      </x:c>
      <x:c r="J3" s="2" t="str">
        <x:v>whatsapp</x:v>
      </x:c>
    </x:row>
    <x:row r="4">
      <x:c r="A4" s="2" t="str">
        <x:v>CONT-003</x:v>
      </x:c>
      <x:c r="B4" s="2" t="str">
        <x:v>76123456-0</x:v>
      </x:c>
      <x:c r="C4" s="2" t="str">
        <x:v>Servicios Cordillera SpA</x:v>
      </x:c>
      <x:c r="D4" s="2" t="str">
        <x:v>96000333-0</x:v>
      </x:c>
      <x:c r="E4" s="2" t="str">
        <x:v>Energía Austral SpA</x:v>
      </x:c>
      <x:c r="F4" s="2" t="str">
        <x:v>Valentina Sepúlveda</x:v>
      </x:c>
      <x:c r="G4" s="2" t="str">
        <x:v>other</x:v>
      </x:c>
      <x:c r="H4" s="2" t="str">
        <x:v>contacto3@example.com</x:v>
      </x:c>
      <x:c r="I4" s="2" t="str">
        <x:v>+56941000274</x:v>
      </x:c>
      <x:c r="J4" s="2" t="str">
        <x:v>email</x:v>
      </x:c>
    </x:row>
    <x:row r="5">
      <x:c r="A5" s="2" t="str">
        <x:v>CONT-004</x:v>
      </x:c>
      <x:c r="B5" s="2" t="str">
        <x:v>76123456-0</x:v>
      </x:c>
      <x:c r="C5" s="2" t="str">
        <x:v>Servicios Cordillera SpA</x:v>
      </x:c>
      <x:c r="D5" s="2" t="str">
        <x:v>96000444-2</x:v>
      </x:c>
      <x:c r="E5" s="2" t="str">
        <x:v>Constructora Valle Central S.A.</x:v>
      </x:c>
      <x:c r="F5" s="2" t="str">
        <x:v>Diego Navarro</x:v>
      </x:c>
      <x:c r="G5" s="2" t="str">
        <x:v>accounts_payable</x:v>
      </x:c>
      <x:c r="H5" s="2" t="str">
        <x:v>contacto4@example.com</x:v>
      </x:c>
      <x:c r="I5" s="2" t="str">
        <x:v>+56941000411</x:v>
      </x:c>
      <x:c r="J5" s="2" t="str">
        <x:v>whatsapp</x:v>
      </x:c>
    </x:row>
    <x:row r="6">
      <x:c r="A6" s="2" t="str">
        <x:v>CONT-005</x:v>
      </x:c>
      <x:c r="B6" s="2" t="str">
        <x:v>76123456-0</x:v>
      </x:c>
      <x:c r="C6" s="2" t="str">
        <x:v>Servicios Cordillera SpA</x:v>
      </x:c>
      <x:c r="D6" s="2" t="str">
        <x:v>96000555-4</x:v>
      </x:c>
      <x:c r="E6" s="2" t="str">
        <x:v>Alimentos Pacífico Ltda.</x:v>
      </x:c>
      <x:c r="F6" s="2" t="str">
        <x:v>Fernanda Vega</x:v>
      </x:c>
      <x:c r="G6" s="2" t="str">
        <x:v>requester</x:v>
      </x:c>
      <x:c r="H6" s="2" t="str">
        <x:v>contacto5@example.com</x:v>
      </x:c>
      <x:c r="I6" s="2" t="str">
        <x:v>+56941000548</x:v>
      </x:c>
      <x:c r="J6" s="2" t="str">
        <x:v>email</x:v>
      </x:c>
    </x:row>
    <x:row r="7">
      <x:c r="A7" s="2" t="str">
        <x:v>CONT-006</x:v>
      </x:c>
      <x:c r="B7" s="2" t="str">
        <x:v>76543210-3</x:v>
      </x:c>
      <x:c r="C7" s="2" t="str">
        <x:v>Ingeniería del Sur Ltda.</x:v>
      </x:c>
      <x:c r="D7" s="2" t="str">
        <x:v>96000111-7</x:v>
      </x:c>
      <x:c r="E7" s="2" t="str">
        <x:v>Minera Horizonte S.A.</x:v>
      </x:c>
      <x:c r="F7" s="2" t="str">
        <x:v>Matías Paredes</x:v>
      </x:c>
      <x:c r="G7" s="2" t="str">
        <x:v>other</x:v>
      </x:c>
      <x:c r="H7" s="2" t="str">
        <x:v>contacto6@example.com</x:v>
      </x:c>
      <x:c r="I7" s="2" t="str">
        <x:v>+56941000685</x:v>
      </x:c>
      <x:c r="J7" s="2" t="str">
        <x:v>whatsapp</x:v>
      </x:c>
    </x:row>
    <x:row r="8">
      <x:c r="A8" s="2" t="str">
        <x:v>CONT-007</x:v>
      </x:c>
      <x:c r="B8" s="2" t="str">
        <x:v>76543210-3</x:v>
      </x:c>
      <x:c r="C8" s="2" t="str">
        <x:v>Ingeniería del Sur Ltda.</x:v>
      </x:c>
      <x:c r="D8" s="2" t="str">
        <x:v>96000333-0</x:v>
      </x:c>
      <x:c r="E8" s="2" t="str">
        <x:v>Energía Austral SpA</x:v>
      </x:c>
      <x:c r="F8" s="2" t="str">
        <x:v>Paula Rojas</x:v>
      </x:c>
      <x:c r="G8" s="2" t="str">
        <x:v>accounts_payable</x:v>
      </x:c>
      <x:c r="H8" s="2" t="str">
        <x:v>contacto7@example.com</x:v>
      </x:c>
      <x:c r="I8" s="2" t="str">
        <x:v>+56941000822</x:v>
      </x:c>
      <x:c r="J8" s="2" t="str">
        <x:v>email</x:v>
      </x:c>
    </x:row>
    <x:row r="9">
      <x:c r="A9" s="2" t="str">
        <x:v>CONT-008</x:v>
      </x:c>
      <x:c r="B9" s="2" t="str">
        <x:v>76543210-3</x:v>
      </x:c>
      <x:c r="C9" s="2" t="str">
        <x:v>Ingeniería del Sur Ltda.</x:v>
      </x:c>
      <x:c r="D9" s="2" t="str">
        <x:v>96000555-4</x:v>
      </x:c>
      <x:c r="E9" s="2" t="str">
        <x:v>Alimentos Pacífico Ltda.</x:v>
      </x:c>
      <x:c r="F9" s="2" t="str">
        <x:v>Sebastián Muñoz</x:v>
      </x:c>
      <x:c r="G9" s="2" t="str">
        <x:v>requester</x:v>
      </x:c>
      <x:c r="H9" s="2" t="str">
        <x:v>contacto8@example.com</x:v>
      </x:c>
      <x:c r="I9" s="2" t="str">
        <x:v>+56941000959</x:v>
      </x:c>
      <x:c r="J9" s="2" t="str">
        <x:v>whatsapp</x:v>
      </x:c>
    </x:row>
    <x:row r="10">
      <x:c r="A10" s="2" t="str">
        <x:v>CONT-009</x:v>
      </x:c>
      <x:c r="B10" s="2" t="str">
        <x:v>76543210-3</x:v>
      </x:c>
      <x:c r="C10" s="2" t="str">
        <x:v>Ingeniería del Sur Ltda.</x:v>
      </x:c>
      <x:c r="D10" s="2" t="str">
        <x:v>96000666-6</x:v>
      </x:c>
      <x:c r="E10" s="2" t="str">
        <x:v>Celulosa Bosques del Sur S.A.</x:v>
      </x:c>
      <x:c r="F10" s="2" t="str">
        <x:v>Camila Silva</x:v>
      </x:c>
      <x:c r="G10" s="2" t="str">
        <x:v>other</x:v>
      </x:c>
      <x:c r="H10" s="2" t="str">
        <x:v>contacto9@example.com</x:v>
      </x:c>
      <x:c r="I10" s="2" t="str">
        <x:v>+56941001096</x:v>
      </x:c>
      <x:c r="J10" s="2" t="str">
        <x:v>email</x:v>
      </x:c>
    </x:row>
    <x:row r="11">
      <x:c r="A11" s="2" t="str">
        <x:v>CONT-010</x:v>
      </x:c>
      <x:c r="B11" s="2" t="str">
        <x:v>76543210-3</x:v>
      </x:c>
      <x:c r="C11" s="2" t="str">
        <x:v>Ingeniería del Sur Ltda.</x:v>
      </x:c>
      <x:c r="D11" s="2" t="str">
        <x:v>96000777-8</x:v>
      </x:c>
      <x:c r="E11" s="2" t="str">
        <x:v>Logística Andina SpA</x:v>
      </x:c>
      <x:c r="F11" s="2" t="str">
        <x:v>Tomás Contreras</x:v>
      </x:c>
      <x:c r="G11" s="2" t="str">
        <x:v>accounts_payable</x:v>
      </x:c>
      <x:c r="H11" s="2" t="str">
        <x:v>contacto10@example.com</x:v>
      </x:c>
      <x:c r="I11" s="2" t="str">
        <x:v>+56941001233</x:v>
      </x:c>
      <x:c r="J11" s="2" t="str">
        <x:v>whatsapp</x:v>
      </x:c>
    </x:row>
    <x:row r="12">
      <x:c r="A12" s="2" t="str">
        <x:v>CONT-011</x:v>
      </x:c>
      <x:c r="B12" s="2" t="str">
        <x:v>77345678-K</x:v>
      </x:c>
      <x:c r="C12" s="2" t="str">
        <x:v>Montajes Atacama SpA</x:v>
      </x:c>
      <x:c r="D12" s="2" t="str">
        <x:v>96000111-7</x:v>
      </x:c>
      <x:c r="E12" s="2" t="str">
        <x:v>Minera Horizonte S.A.</x:v>
      </x:c>
      <x:c r="F12" s="2" t="str">
        <x:v>Valentina Sepúlveda</x:v>
      </x:c>
      <x:c r="G12" s="2" t="str">
        <x:v>requester</x:v>
      </x:c>
      <x:c r="H12" s="2" t="str">
        <x:v>contacto11@example.com</x:v>
      </x:c>
      <x:c r="I12" s="2" t="str">
        <x:v>+56941001370</x:v>
      </x:c>
      <x:c r="J12" s="2" t="str">
        <x:v>email</x:v>
      </x:c>
    </x:row>
    <x:row r="13">
      <x:c r="A13" s="2" t="str">
        <x:v>CONT-012</x:v>
      </x:c>
      <x:c r="B13" s="2" t="str">
        <x:v>77345678-K</x:v>
      </x:c>
      <x:c r="C13" s="2" t="str">
        <x:v>Montajes Atacama SpA</x:v>
      </x:c>
      <x:c r="D13" s="2" t="str">
        <x:v>96000222-9</x:v>
      </x:c>
      <x:c r="E13" s="2" t="str">
        <x:v>Retail Pórtico S.A.</x:v>
      </x:c>
      <x:c r="F13" s="2" t="str">
        <x:v>Diego Navarro</x:v>
      </x:c>
      <x:c r="G13" s="2" t="str">
        <x:v>other</x:v>
      </x:c>
      <x:c r="H13" s="2" t="str">
        <x:v>contacto12@example.com</x:v>
      </x:c>
      <x:c r="I13" s="2" t="str">
        <x:v>+56941001507</x:v>
      </x:c>
      <x:c r="J13" s="2" t="str">
        <x:v>whatsapp</x:v>
      </x:c>
    </x:row>
    <x:row r="14">
      <x:c r="A14" s="2" t="str">
        <x:v>CONT-013</x:v>
      </x:c>
      <x:c r="B14" s="2" t="str">
        <x:v>77345678-K</x:v>
      </x:c>
      <x:c r="C14" s="2" t="str">
        <x:v>Montajes Atacama SpA</x:v>
      </x:c>
      <x:c r="D14" s="2" t="str">
        <x:v>96000666-6</x:v>
      </x:c>
      <x:c r="E14" s="2" t="str">
        <x:v>Celulosa Bosques del Sur S.A.</x:v>
      </x:c>
      <x:c r="F14" s="2" t="str">
        <x:v>Fernanda Vega</x:v>
      </x:c>
      <x:c r="G14" s="2" t="str">
        <x:v>accounts_payable</x:v>
      </x:c>
      <x:c r="H14" s="2" t="str">
        <x:v>contacto13@example.com</x:v>
      </x:c>
      <x:c r="I14" s="2" t="str">
        <x:v>+56941001644</x:v>
      </x:c>
      <x:c r="J14" s="2" t="str">
        <x:v>email</x:v>
      </x:c>
    </x:row>
    <x:row r="15">
      <x:c r="A15" s="2" t="str">
        <x:v>CONT-014</x:v>
      </x:c>
      <x:c r="B15" s="2" t="str">
        <x:v>77345678-K</x:v>
      </x:c>
      <x:c r="C15" s="2" t="str">
        <x:v>Montajes Atacama SpA</x:v>
      </x:c>
      <x:c r="D15" s="2" t="str">
        <x:v>96000777-8</x:v>
      </x:c>
      <x:c r="E15" s="2" t="str">
        <x:v>Logística Andina SpA</x:v>
      </x:c>
      <x:c r="F15" s="2" t="str">
        <x:v>Matías Paredes</x:v>
      </x:c>
      <x:c r="G15" s="2" t="str">
        <x:v>requester</x:v>
      </x:c>
      <x:c r="H15" s="2" t="str">
        <x:v>contacto14@example.com</x:v>
      </x:c>
      <x:c r="I15" s="2" t="str">
        <x:v>+56941001781</x:v>
      </x:c>
      <x:c r="J15" s="2" t="str">
        <x:v>whatsapp</x:v>
      </x:c>
    </x:row>
    <x:row r="16">
      <x:c r="A16" s="2" t="str">
        <x:v>CONT-015</x:v>
      </x:c>
      <x:c r="B16" s="2" t="str">
        <x:v>77345678-K</x:v>
      </x:c>
      <x:c r="C16" s="2" t="str">
        <x:v>Montajes Atacama SpA</x:v>
      </x:c>
      <x:c r="D16" s="2" t="str">
        <x:v>96000888-K</x:v>
      </x:c>
      <x:c r="E16" s="2" t="str">
        <x:v>Clínica Metropolitana S.A.</x:v>
      </x:c>
      <x:c r="F16" s="2" t="str">
        <x:v>Paula Rojas</x:v>
      </x:c>
      <x:c r="G16" s="2" t="str">
        <x:v>other</x:v>
      </x:c>
      <x:c r="H16" s="2" t="str">
        <x:v>contacto15@example.com</x:v>
      </x:c>
      <x:c r="I16" s="2" t="str">
        <x:v>+56941001918</x:v>
      </x:c>
      <x:c r="J16" s="2" t="str">
        <x:v>email</x:v>
      </x:c>
    </x:row>
  </x:sheetData>
  <x:pageMargins left="0.7" right="0.7" top="0.75" bottom="0.75" header="0.3" footer="0.3"/>
  <x:tableParts count="1">
    <x:tablePart xmlns:r="http://schemas.openxmlformats.org/officeDocument/2006/relationships" r:id="Rb67997059cf84272"/>
  </x:tableParts>
</x:worksheet>
</file>

<file path=xl/worksheets/sheet4.xml><?xml version="1.0" encoding="utf-8"?>
<x:worksheet xmlns:x="http://schemas.openxmlformats.org/spreadsheetml/2006/main">
  <x:sheetPr>
    <x:tabColor rgb="FF62A8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34" hidden="0" customWidth="1"/>
    <x:col min="3" max="3" width="10.25" hidden="0" customWidth="1"/>
    <x:col min="4" max="4" width="13.130000114440918" hidden="0" customWidth="1"/>
    <x:col min="5" max="5" width="14.130000114440918" hidden="0" customWidth="1"/>
    <x:col min="6" max="6" width="15.25" hidden="0" customWidth="1"/>
    <x:col min="7" max="7" width="19.1299991607666" hidden="0" customWidth="1"/>
    <x:col min="8" max="8" width="14" hidden="0" customWidth="1"/>
    <x:col min="9" max="9" width="36" hidden="0" customWidth="1"/>
    <x:col min="10" max="10" width="14.5" hidden="0" customWidth="1"/>
  </x:cols>
  <x:sheetData>
    <x:row r="1" ht="34" customHeight="1">
      <x:c r="A1" s="11" t="str">
        <x:v>RUT</x:v>
      </x:c>
      <x:c r="B1" s="12" t="str">
        <x:v>Razón social</x:v>
      </x:c>
      <x:c r="C1" s="12" t="str">
        <x:v>Sector</x:v>
      </x:c>
      <x:c r="D1" s="12" t="str">
        <x:v>Requiere OC</x:v>
      </x:c>
      <x:c r="E1" s="12" t="str">
        <x:v>Requiere HES</x:v>
      </x:c>
      <x:c r="F1" s="12" t="str">
        <x:v>Requiere portal</x:v>
      </x:c>
      <x:c r="G1" s="12" t="str">
        <x:v>Plazo pactado (días)</x:v>
      </x:c>
      <x:c r="H1" s="12" t="str">
        <x:v>Ciclo de pago</x:v>
      </x:c>
      <x:c r="I1" s="12" t="str">
        <x:v>Portal</x:v>
      </x:c>
      <x:c r="J1" s="13" t="str">
        <x:v>Datos ficticios</x:v>
      </x:c>
    </x:row>
    <x:row r="2">
      <x:c r="A2" s="2" t="str">
        <x:v>96000111-7</x:v>
      </x:c>
      <x:c r="B2" s="2" t="str">
        <x:v>Minera Horizonte S.A.</x:v>
      </x:c>
      <x:c r="C2" s="2" t="str">
        <x:v>Minería</x:v>
      </x:c>
      <x:c r="D2" s="2" t="str">
        <x:v>Sí</x:v>
      </x:c>
      <x:c r="E2" s="2" t="str">
        <x:v>Sí</x:v>
      </x:c>
      <x:c r="F2" s="2" t="str">
        <x:v>Sí</x:v>
      </x:c>
      <x:c r="G2" s="2" t="n">
        <x:v>45</x:v>
      </x:c>
      <x:c r="H2" s="2" t="str">
        <x:v>Días 10 y 25</x:v>
      </x:c>
      <x:c r="I2" s="2" t="str">
        <x:v>https://proveedores1.example.test</x:v>
      </x:c>
      <x:c r="J2" s="2" t="str">
        <x:v>Sí</x:v>
      </x:c>
    </x:row>
    <x:row r="3">
      <x:c r="A3" s="2" t="str">
        <x:v>96000222-9</x:v>
      </x:c>
      <x:c r="B3" s="2" t="str">
        <x:v>Retail Pórtico S.A.</x:v>
      </x:c>
      <x:c r="C3" s="2" t="str">
        <x:v>Retail</x:v>
      </x:c>
      <x:c r="D3" s="2" t="str">
        <x:v>Sí</x:v>
      </x:c>
      <x:c r="E3" s="2" t="str">
        <x:v>No</x:v>
      </x:c>
      <x:c r="F3" s="2" t="str">
        <x:v>Sí</x:v>
      </x:c>
      <x:c r="G3" s="2" t="n">
        <x:v>30</x:v>
      </x:c>
      <x:c r="H3" s="2" t="str">
        <x:v>Días 5 y 20</x:v>
      </x:c>
      <x:c r="I3" s="2" t="str">
        <x:v>https://proveedores2.example.test</x:v>
      </x:c>
      <x:c r="J3" s="2" t="str">
        <x:v>Sí</x:v>
      </x:c>
    </x:row>
    <x:row r="4">
      <x:c r="A4" s="2" t="str">
        <x:v>96000333-0</x:v>
      </x:c>
      <x:c r="B4" s="2" t="str">
        <x:v>Energía Austral SpA</x:v>
      </x:c>
      <x:c r="C4" s="2" t="str">
        <x:v>Energía</x:v>
      </x:c>
      <x:c r="D4" s="2" t="str">
        <x:v>Sí</x:v>
      </x:c>
      <x:c r="E4" s="2" t="str">
        <x:v>Sí</x:v>
      </x:c>
      <x:c r="F4" s="2" t="str">
        <x:v>Sí</x:v>
      </x:c>
      <x:c r="G4" s="2" t="n">
        <x:v>45</x:v>
      </x:c>
      <x:c r="H4" s="2" t="str">
        <x:v>Viernes alternos</x:v>
      </x:c>
      <x:c r="I4" s="2" t="str">
        <x:v>https://proveedores3.example.test</x:v>
      </x:c>
      <x:c r="J4" s="2" t="str">
        <x:v>Sí</x:v>
      </x:c>
    </x:row>
    <x:row r="5">
      <x:c r="A5" s="2" t="str">
        <x:v>96000444-2</x:v>
      </x:c>
      <x:c r="B5" s="2" t="str">
        <x:v>Constructora Valle Central S.A.</x:v>
      </x:c>
      <x:c r="C5" s="2" t="str">
        <x:v>Construcción</x:v>
      </x:c>
      <x:c r="D5" s="2" t="str">
        <x:v>Sí</x:v>
      </x:c>
      <x:c r="E5" s="2" t="str">
        <x:v>Sí</x:v>
      </x:c>
      <x:c r="F5" s="2" t="str">
        <x:v>No</x:v>
      </x:c>
      <x:c r="G5" s="2" t="n">
        <x:v>30</x:v>
      </x:c>
      <x:c r="H5" s="2" t="str">
        <x:v>Último día hábil</x:v>
      </x:c>
      <x:c r="I5" s="2" t="str"/>
      <x:c r="J5" s="2" t="str">
        <x:v>Sí</x:v>
      </x:c>
    </x:row>
    <x:row r="6">
      <x:c r="A6" s="2" t="str">
        <x:v>96000555-4</x:v>
      </x:c>
      <x:c r="B6" s="2" t="str">
        <x:v>Alimentos Pacífico Ltda.</x:v>
      </x:c>
      <x:c r="C6" s="2" t="str">
        <x:v>Alimentos</x:v>
      </x:c>
      <x:c r="D6" s="2" t="str">
        <x:v>Sí</x:v>
      </x:c>
      <x:c r="E6" s="2" t="str">
        <x:v>No</x:v>
      </x:c>
      <x:c r="F6" s="2" t="str">
        <x:v>No</x:v>
      </x:c>
      <x:c r="G6" s="2" t="n">
        <x:v>30</x:v>
      </x:c>
      <x:c r="H6" s="2" t="str">
        <x:v>Días 15 y 30</x:v>
      </x:c>
      <x:c r="I6" s="2" t="str"/>
      <x:c r="J6" s="2" t="str">
        <x:v>Sí</x:v>
      </x:c>
    </x:row>
    <x:row r="7">
      <x:c r="A7" s="2" t="str">
        <x:v>96000666-6</x:v>
      </x:c>
      <x:c r="B7" s="2" t="str">
        <x:v>Celulosa Bosques del Sur S.A.</x:v>
      </x:c>
      <x:c r="C7" s="2" t="str">
        <x:v>Forestal</x:v>
      </x:c>
      <x:c r="D7" s="2" t="str">
        <x:v>Sí</x:v>
      </x:c>
      <x:c r="E7" s="2" t="str">
        <x:v>Sí</x:v>
      </x:c>
      <x:c r="F7" s="2" t="str">
        <x:v>Sí</x:v>
      </x:c>
      <x:c r="G7" s="2" t="n">
        <x:v>45</x:v>
      </x:c>
      <x:c r="H7" s="2" t="str">
        <x:v>Día 28</x:v>
      </x:c>
      <x:c r="I7" s="2" t="str">
        <x:v>https://proveedores6.example.test</x:v>
      </x:c>
      <x:c r="J7" s="2" t="str">
        <x:v>Sí</x:v>
      </x:c>
    </x:row>
    <x:row r="8">
      <x:c r="A8" s="2" t="str">
        <x:v>96000777-8</x:v>
      </x:c>
      <x:c r="B8" s="2" t="str">
        <x:v>Logística Andina SpA</x:v>
      </x:c>
      <x:c r="C8" s="2" t="str">
        <x:v>Logística</x:v>
      </x:c>
      <x:c r="D8" s="2" t="str">
        <x:v>No</x:v>
      </x:c>
      <x:c r="E8" s="2" t="str">
        <x:v>Sí</x:v>
      </x:c>
      <x:c r="F8" s="2" t="str">
        <x:v>Sí</x:v>
      </x:c>
      <x:c r="G8" s="2" t="n">
        <x:v>30</x:v>
      </x:c>
      <x:c r="H8" s="2" t="str">
        <x:v>Todos los jueves</x:v>
      </x:c>
      <x:c r="I8" s="2" t="str">
        <x:v>https://proveedores7.example.test</x:v>
      </x:c>
      <x:c r="J8" s="2" t="str">
        <x:v>Sí</x:v>
      </x:c>
    </x:row>
    <x:row r="9">
      <x:c r="A9" s="2" t="str">
        <x:v>96000888-K</x:v>
      </x:c>
      <x:c r="B9" s="2" t="str">
        <x:v>Clínica Metropolitana S.A.</x:v>
      </x:c>
      <x:c r="C9" s="2" t="str">
        <x:v>Salud</x:v>
      </x:c>
      <x:c r="D9" s="2" t="str">
        <x:v>Sí</x:v>
      </x:c>
      <x:c r="E9" s="2" t="str">
        <x:v>No</x:v>
      </x:c>
      <x:c r="F9" s="2" t="str">
        <x:v>Sí</x:v>
      </x:c>
      <x:c r="G9" s="2" t="n">
        <x:v>30</x:v>
      </x:c>
      <x:c r="H9" s="2" t="str">
        <x:v>Días 12 y 27</x:v>
      </x:c>
      <x:c r="I9" s="2" t="str">
        <x:v>https://proveedores8.example.test</x:v>
      </x:c>
      <x:c r="J9" s="2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430f35b92c064dc0"/>
  </x:tableParts>
</x:worksheet>
</file>

<file path=xl/worksheets/sheet5.xml><?xml version="1.0" encoding="utf-8"?>
<x:worksheet xmlns:x="http://schemas.openxmlformats.org/spreadsheetml/2006/main">
  <x:sheetPr>
    <x:tabColor rgb="FF62A8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9.630000114440918" hidden="0" customWidth="1"/>
    <x:col min="3" max="3" width="30" hidden="0" customWidth="1"/>
    <x:col min="4" max="4" width="18.6299991607666" hidden="0" customWidth="1"/>
    <x:col min="5" max="5" width="9.5" hidden="0" customWidth="1"/>
    <x:col min="6" max="6" width="15.25" hidden="0" customWidth="1"/>
    <x:col min="7" max="7" width="38" hidden="0" customWidth="1"/>
    <x:col min="8" max="8" width="8.130000114440918" hidden="0" customWidth="1"/>
  </x:cols>
  <x:sheetData>
    <x:row r="1" ht="34" customHeight="1">
      <x:c r="A1" s="11" t="str">
        <x:v>Pyme ID</x:v>
      </x:c>
      <x:c r="B1" s="12" t="str">
        <x:v>RUT</x:v>
      </x:c>
      <x:c r="C1" s="12" t="str">
        <x:v>Razón social</x:v>
      </x:c>
      <x:c r="D1" s="12" t="str">
        <x:v>Rubro</x:v>
      </x:c>
      <x:c r="E1" s="12" t="str">
        <x:v>Ciudad</x:v>
      </x:c>
      <x:c r="F1" s="12" t="str">
        <x:v>DSO línea base</x:v>
      </x:c>
      <x:c r="G1" s="12" t="str">
        <x:v>Remitente</x:v>
      </x:c>
      <x:c r="H1" s="13" t="str">
        <x:v>Activa</x:v>
      </x:c>
    </x:row>
    <x:row r="2">
      <x:c r="A2" s="2" t="str">
        <x:v>PYME-001</x:v>
      </x:c>
      <x:c r="B2" s="2" t="str">
        <x:v>76123456-0</x:v>
      </x:c>
      <x:c r="C2" s="2" t="str">
        <x:v>Servicios Cordillera SpA</x:v>
      </x:c>
      <x:c r="D2" s="2" t="str">
        <x:v>Mantenimiento industrial</x:v>
      </x:c>
      <x:c r="E2" s="2" t="str">
        <x:v>Antofagasta</x:v>
      </x:c>
      <x:c r="F2" s="14" t="n">
        <x:v>51.4</x:v>
      </x:c>
      <x:c r="G2" s="2" t="str">
        <x:v>cobranzas.cordillera@example.com</x:v>
      </x:c>
      <x:c r="H2" s="2" t="str">
        <x:v>Sí</x:v>
      </x:c>
    </x:row>
    <x:row r="3">
      <x:c r="A3" s="2" t="str">
        <x:v>PYME-002</x:v>
      </x:c>
      <x:c r="B3" s="2" t="str">
        <x:v>76543210-3</x:v>
      </x:c>
      <x:c r="C3" s="2" t="str">
        <x:v>Ingeniería del Sur Ltda.</x:v>
      </x:c>
      <x:c r="D3" s="2" t="str">
        <x:v>Ingeniería y proyectos</x:v>
      </x:c>
      <x:c r="E3" s="2" t="str">
        <x:v>Concepción</x:v>
      </x:c>
      <x:c r="F3" s="14" t="n">
        <x:v>46.2</x:v>
      </x:c>
      <x:c r="G3" s="2" t="str">
        <x:v>finanzas.ingenieriadelsur@example.com</x:v>
      </x:c>
      <x:c r="H3" s="2" t="str">
        <x:v>Sí</x:v>
      </x:c>
    </x:row>
    <x:row r="4">
      <x:c r="A4" s="2" t="str">
        <x:v>PYME-003</x:v>
      </x:c>
      <x:c r="B4" s="2" t="str">
        <x:v>77345678-K</x:v>
      </x:c>
      <x:c r="C4" s="2" t="str">
        <x:v>Montajes Atacama SpA</x:v>
      </x:c>
      <x:c r="D4" s="2" t="str">
        <x:v>Montaje eléctrico</x:v>
      </x:c>
      <x:c r="E4" s="2" t="str">
        <x:v>Copiapó</x:v>
      </x:c>
      <x:c r="F4" s="14" t="n">
        <x:v>57.8</x:v>
      </x:c>
      <x:c r="G4" s="2" t="str">
        <x:v>administracion.montajesatacama@example.com</x:v>
      </x:c>
      <x:c r="H4" s="2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aef3ee6c05b34296"/>
  </x:tableParts>
</x:worksheet>
</file>

<file path=xl/worksheets/sheet6.xml><?xml version="1.0" encoding="utf-8"?>
<x:worksheet xmlns:x="http://schemas.openxmlformats.org/spreadsheetml/2006/main">
  <x:sheetPr>
    <x:tabColor rgb="FF7AAE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5" hidden="0" customWidth="1"/>
    <x:col min="2" max="2" width="11.25" hidden="0" customWidth="1"/>
    <x:col min="3" max="3" width="11.25" hidden="0" customWidth="1"/>
    <x:col min="4" max="4" width="12.380000114440918" hidden="0" customWidth="1"/>
    <x:col min="5" max="5" width="8.880000114440918" hidden="0" customWidth="1"/>
    <x:col min="6" max="6" width="11" hidden="0" customWidth="1"/>
    <x:col min="7" max="7" width="10.25" hidden="0" customWidth="1"/>
    <x:col min="8" max="8" width="38" hidden="0" customWidth="1"/>
  </x:cols>
  <x:sheetData>
    <x:row r="1" ht="34" customHeight="1">
      <x:c r="A1" s="11" t="str">
        <x:v>Pago ID</x:v>
      </x:c>
      <x:c r="B1" s="12" t="str">
        <x:v>Factura ID</x:v>
      </x:c>
      <x:c r="C1" s="12" t="str">
        <x:v>RUT pyme</x:v>
      </x:c>
      <x:c r="D1" s="12" t="str">
        <x:v>Fecha pago</x:v>
      </x:c>
      <x:c r="E1" s="12" t="str">
        <x:v>Monto</x:v>
      </x:c>
      <x:c r="F1" s="12" t="str">
        <x:v>Verificado</x:v>
      </x:c>
      <x:c r="G1" s="12" t="str">
        <x:v>Origen</x:v>
      </x:c>
      <x:c r="H1" s="13" t="str">
        <x:v>Evidencia</x:v>
      </x:c>
    </x:row>
    <x:row r="2">
      <x:c r="A2" s="2" t="str">
        <x:v>PAGO-0001</x:v>
      </x:c>
      <x:c r="B2" s="2" t="str">
        <x:v>FAC-1-0001</x:v>
      </x:c>
      <x:c r="C2" s="2" t="str">
        <x:v>76123456-0</x:v>
      </x:c>
      <x:c r="D2" s="15" t="d">
        <x:v>2026-07-13T00:00:00.000Z</x:v>
      </x:c>
      <x:c r="E2" s="16" t="n">
        <x:v>380000</x:v>
      </x:c>
      <x:c r="F2" s="2" t="str">
        <x:v>Sí</x:v>
      </x:c>
      <x:c r="G2" s="2" t="str">
        <x:v>comprobante</x:v>
      </x:c>
      <x:c r="H2" s="2" t="str">
        <x:v>evidencias/FAC-1-0001-comprobante.pdf</x:v>
      </x:c>
    </x:row>
    <x:row r="3">
      <x:c r="A3" s="2" t="str">
        <x:v>PAGO-0002</x:v>
      </x:c>
      <x:c r="B3" s="2" t="str">
        <x:v>FAC-1-0002</x:v>
      </x:c>
      <x:c r="C3" s="2" t="str">
        <x:v>76123456-0</x:v>
      </x:c>
      <x:c r="D3" s="15" t="d">
        <x:v>2026-07-17T00:00:00.000Z</x:v>
      </x:c>
      <x:c r="E3" s="16" t="n">
        <x:v>553000</x:v>
      </x:c>
      <x:c r="F3" s="2" t="str">
        <x:v>Sí</x:v>
      </x:c>
      <x:c r="G3" s="2" t="str">
        <x:v>comprobante</x:v>
      </x:c>
      <x:c r="H3" s="2" t="str">
        <x:v>evidencias/FAC-1-0002-comprobante.pdf</x:v>
      </x:c>
    </x:row>
    <x:row r="4">
      <x:c r="A4" s="2" t="str">
        <x:v>PAGO-0003</x:v>
      </x:c>
      <x:c r="B4" s="2" t="str">
        <x:v>FAC-1-0003</x:v>
      </x:c>
      <x:c r="C4" s="2" t="str">
        <x:v>76123456-0</x:v>
      </x:c>
      <x:c r="D4" s="15" t="d">
        <x:v>2026-07-31T00:00:00.000Z</x:v>
      </x:c>
      <x:c r="E4" s="16" t="n">
        <x:v>726000</x:v>
      </x:c>
      <x:c r="F4" s="2" t="str">
        <x:v>Sí</x:v>
      </x:c>
      <x:c r="G4" s="2" t="str">
        <x:v>cartola</x:v>
      </x:c>
      <x:c r="H4" s="2" t="str">
        <x:v>evidencias/FAC-1-0003-comprobante.pdf</x:v>
      </x:c>
    </x:row>
    <x:row r="5">
      <x:c r="A5" s="2" t="str">
        <x:v>PAGO-0004</x:v>
      </x:c>
      <x:c r="B5" s="2" t="str">
        <x:v>FAC-1-0008</x:v>
      </x:c>
      <x:c r="C5" s="2" t="str">
        <x:v>76123456-0</x:v>
      </x:c>
      <x:c r="D5" s="15" t="d">
        <x:v>2026-08-27T00:00:00.000Z</x:v>
      </x:c>
      <x:c r="E5" s="16" t="n">
        <x:v>1591000</x:v>
      </x:c>
      <x:c r="F5" s="2" t="str">
        <x:v>Sí</x:v>
      </x:c>
      <x:c r="G5" s="2" t="str">
        <x:v>comprobante</x:v>
      </x:c>
      <x:c r="H5" s="2" t="str">
        <x:v>evidencias/FAC-1-0008-comprobante.pdf</x:v>
      </x:c>
    </x:row>
    <x:row r="6">
      <x:c r="A6" s="2" t="str">
        <x:v>PAGO-0005</x:v>
      </x:c>
      <x:c r="B6" s="2" t="str">
        <x:v>FAC-1-0009</x:v>
      </x:c>
      <x:c r="C6" s="2" t="str">
        <x:v>76123456-0</x:v>
      </x:c>
      <x:c r="D6" s="15" t="d">
        <x:v>2026-07-25T00:00:00.000Z</x:v>
      </x:c>
      <x:c r="E6" s="16" t="n">
        <x:v>1764000</x:v>
      </x:c>
      <x:c r="F6" s="2" t="str">
        <x:v>Sí</x:v>
      </x:c>
      <x:c r="G6" s="2" t="str">
        <x:v>comprobante</x:v>
      </x:c>
      <x:c r="H6" s="2" t="str">
        <x:v>evidencias/FAC-1-0009-comprobante.pdf</x:v>
      </x:c>
    </x:row>
    <x:row r="7">
      <x:c r="A7" s="2" t="str">
        <x:v>PAGO-0006</x:v>
      </x:c>
      <x:c r="B7" s="2" t="str">
        <x:v>FAC-1-0011</x:v>
      </x:c>
      <x:c r="C7" s="2" t="str">
        <x:v>76123456-0</x:v>
      </x:c>
      <x:c r="D7" s="15" t="d">
        <x:v>2026-08-12T00:00:00.000Z</x:v>
      </x:c>
      <x:c r="E7" s="16" t="n">
        <x:v>2110000</x:v>
      </x:c>
      <x:c r="F7" s="2" t="str">
        <x:v>Sí</x:v>
      </x:c>
      <x:c r="G7" s="2" t="str">
        <x:v>cartola</x:v>
      </x:c>
      <x:c r="H7" s="2" t="str">
        <x:v>evidencias/FAC-1-0011-comprobante.pdf</x:v>
      </x:c>
    </x:row>
    <x:row r="8">
      <x:c r="A8" s="2" t="str">
        <x:v>PAGO-0007</x:v>
      </x:c>
      <x:c r="B8" s="2" t="str">
        <x:v>FAC-1-0012</x:v>
      </x:c>
      <x:c r="C8" s="2" t="str">
        <x:v>76123456-0</x:v>
      </x:c>
      <x:c r="D8" s="15" t="d">
        <x:v>2026-08-16T00:00:00.000Z</x:v>
      </x:c>
      <x:c r="E8" s="16" t="n">
        <x:v>2283000</x:v>
      </x:c>
      <x:c r="F8" s="2" t="str">
        <x:v>No</x:v>
      </x:c>
      <x:c r="G8" s="2" t="str">
        <x:v>comprobante</x:v>
      </x:c>
      <x:c r="H8" s="2" t="str">
        <x:v>evidencias/FAC-1-0012-comprobante.pdf</x:v>
      </x:c>
    </x:row>
    <x:row r="9">
      <x:c r="A9" s="2" t="str">
        <x:v>PAGO-0008</x:v>
      </x:c>
      <x:c r="B9" s="2" t="str">
        <x:v>FAC-1-0013</x:v>
      </x:c>
      <x:c r="C9" s="2" t="str">
        <x:v>76123456-0</x:v>
      </x:c>
      <x:c r="D9" s="15" t="d">
        <x:v>2026-08-30T00:00:00.000Z</x:v>
      </x:c>
      <x:c r="E9" s="16" t="n">
        <x:v>2456000</x:v>
      </x:c>
      <x:c r="F9" s="2" t="str">
        <x:v>Sí</x:v>
      </x:c>
      <x:c r="G9" s="2" t="str">
        <x:v>comprobante</x:v>
      </x:c>
      <x:c r="H9" s="2" t="str">
        <x:v>evidencias/FAC-1-0013-comprobante.pdf</x:v>
      </x:c>
    </x:row>
    <x:row r="10">
      <x:c r="A10" s="2" t="str">
        <x:v>PAGO-0009</x:v>
      </x:c>
      <x:c r="B10" s="2" t="str">
        <x:v>FAC-1-0018</x:v>
      </x:c>
      <x:c r="C10" s="2" t="str">
        <x:v>76123456-0</x:v>
      </x:c>
      <x:c r="D10" s="15" t="d">
        <x:v>2026-09-26T00:00:00.000Z</x:v>
      </x:c>
      <x:c r="E10" s="16" t="n">
        <x:v>3321000</x:v>
      </x:c>
      <x:c r="F10" s="2" t="str">
        <x:v>Sí</x:v>
      </x:c>
      <x:c r="G10" s="2" t="str">
        <x:v>cartola</x:v>
      </x:c>
      <x:c r="H10" s="2" t="str">
        <x:v>evidencias/FAC-1-0018-comprobante.pdf</x:v>
      </x:c>
    </x:row>
    <x:row r="11">
      <x:c r="A11" s="2" t="str">
        <x:v>PAGO-0010</x:v>
      </x:c>
      <x:c r="B11" s="2" t="str">
        <x:v>FAC-1-0019</x:v>
      </x:c>
      <x:c r="C11" s="2" t="str">
        <x:v>76123456-0</x:v>
      </x:c>
      <x:c r="D11" s="15" t="d">
        <x:v>2026-08-24T00:00:00.000Z</x:v>
      </x:c>
      <x:c r="E11" s="16" t="n">
        <x:v>3494000</x:v>
      </x:c>
      <x:c r="F11" s="2" t="str">
        <x:v>Sí</x:v>
      </x:c>
      <x:c r="G11" s="2" t="str">
        <x:v>comprobante</x:v>
      </x:c>
      <x:c r="H11" s="2" t="str">
        <x:v>evidencias/FAC-1-0019-comprobante.pdf</x:v>
      </x:c>
    </x:row>
    <x:row r="12">
      <x:c r="A12" s="2" t="str">
        <x:v>PAGO-0011</x:v>
      </x:c>
      <x:c r="B12" s="2" t="str">
        <x:v>FAC-1-0021</x:v>
      </x:c>
      <x:c r="C12" s="2" t="str">
        <x:v>76123456-0</x:v>
      </x:c>
      <x:c r="D12" s="15" t="d">
        <x:v>2026-09-11T00:00:00.000Z</x:v>
      </x:c>
      <x:c r="E12" s="16" t="n">
        <x:v>3840000</x:v>
      </x:c>
      <x:c r="F12" s="2" t="str">
        <x:v>Sí</x:v>
      </x:c>
      <x:c r="G12" s="2" t="str">
        <x:v>comprobante</x:v>
      </x:c>
      <x:c r="H12" s="2" t="str">
        <x:v>evidencias/FAC-1-0021-comprobante.pdf</x:v>
      </x:c>
    </x:row>
    <x:row r="13">
      <x:c r="A13" s="2" t="str">
        <x:v>PAGO-0012</x:v>
      </x:c>
      <x:c r="B13" s="2" t="str">
        <x:v>FAC-1-0022</x:v>
      </x:c>
      <x:c r="C13" s="2" t="str">
        <x:v>76123456-0</x:v>
      </x:c>
      <x:c r="D13" s="15" t="d">
        <x:v>2026-09-15T00:00:00.000Z</x:v>
      </x:c>
      <x:c r="E13" s="16" t="n">
        <x:v>4013000</x:v>
      </x:c>
      <x:c r="F13" s="2" t="str">
        <x:v>Sí</x:v>
      </x:c>
      <x:c r="G13" s="2" t="str">
        <x:v>cartola</x:v>
      </x:c>
      <x:c r="H13" s="2" t="str">
        <x:v>evidencias/FAC-1-0022-comprobante.pdf</x:v>
      </x:c>
    </x:row>
    <x:row r="14">
      <x:c r="A14" s="2" t="str">
        <x:v>PAGO-0013</x:v>
      </x:c>
      <x:c r="B14" s="2" t="str">
        <x:v>FAC-1-0023</x:v>
      </x:c>
      <x:c r="C14" s="2" t="str">
        <x:v>76123456-0</x:v>
      </x:c>
      <x:c r="D14" s="15" t="d">
        <x:v>2026-09-29T00:00:00.000Z</x:v>
      </x:c>
      <x:c r="E14" s="16" t="n">
        <x:v>4186000</x:v>
      </x:c>
      <x:c r="F14" s="2" t="str">
        <x:v>Sí</x:v>
      </x:c>
      <x:c r="G14" s="2" t="str">
        <x:v>comprobante</x:v>
      </x:c>
      <x:c r="H14" s="2" t="str">
        <x:v>evidencias/FAC-1-0023-comprobante.pdf</x:v>
      </x:c>
    </x:row>
    <x:row r="15">
      <x:c r="A15" s="2" t="str">
        <x:v>PAGO-0014</x:v>
      </x:c>
      <x:c r="B15" s="2" t="str">
        <x:v>FAC-1-0029</x:v>
      </x:c>
      <x:c r="C15" s="2" t="str">
        <x:v>76123456-0</x:v>
      </x:c>
      <x:c r="D15" s="15" t="d">
        <x:v>2026-09-23T00:00:00.000Z</x:v>
      </x:c>
      <x:c r="E15" s="16" t="n">
        <x:v>5224000</x:v>
      </x:c>
      <x:c r="F15" s="2" t="str">
        <x:v>No</x:v>
      </x:c>
      <x:c r="G15" s="2" t="str">
        <x:v>comprobante</x:v>
      </x:c>
      <x:c r="H15" s="2" t="str">
        <x:v>evidencias/FAC-1-0029-comprobante.pdf</x:v>
      </x:c>
    </x:row>
    <x:row r="16">
      <x:c r="A16" s="2" t="str">
        <x:v>PAGO-0015</x:v>
      </x:c>
      <x:c r="B16" s="2" t="str">
        <x:v>FAC-1-0031</x:v>
      </x:c>
      <x:c r="C16" s="2" t="str">
        <x:v>76123456-0</x:v>
      </x:c>
      <x:c r="D16" s="15" t="d">
        <x:v>2026-10-11T00:00:00.000Z</x:v>
      </x:c>
      <x:c r="E16" s="16" t="n">
        <x:v>5570000</x:v>
      </x:c>
      <x:c r="F16" s="2" t="str">
        <x:v>Sí</x:v>
      </x:c>
      <x:c r="G16" s="2" t="str">
        <x:v>cartola</x:v>
      </x:c>
      <x:c r="H16" s="2" t="str">
        <x:v>evidencias/FAC-1-0031-comprobante.pdf</x:v>
      </x:c>
    </x:row>
    <x:row r="17">
      <x:c r="A17" s="2" t="str">
        <x:v>PAGO-0016</x:v>
      </x:c>
      <x:c r="B17" s="2" t="str">
        <x:v>FAC-2-0005</x:v>
      </x:c>
      <x:c r="C17" s="2" t="str">
        <x:v>76543210-3</x:v>
      </x:c>
      <x:c r="D17" s="15" t="d">
        <x:v>2026-08-04T00:00:00.000Z</x:v>
      </x:c>
      <x:c r="E17" s="16" t="n">
        <x:v>1367000</x:v>
      </x:c>
      <x:c r="F17" s="2" t="str">
        <x:v>Sí</x:v>
      </x:c>
      <x:c r="G17" s="2" t="str">
        <x:v>comprobante</x:v>
      </x:c>
      <x:c r="H17" s="2" t="str">
        <x:v>evidencias/FAC-2-0005-comprobante.pdf</x:v>
      </x:c>
    </x:row>
    <x:row r="18">
      <x:c r="A18" s="2" t="str">
        <x:v>PAGO-0017</x:v>
      </x:c>
      <x:c r="B18" s="2" t="str">
        <x:v>FAC-2-0006</x:v>
      </x:c>
      <x:c r="C18" s="2" t="str">
        <x:v>76543210-3</x:v>
      </x:c>
      <x:c r="D18" s="15" t="d">
        <x:v>2026-08-01T00:00:00.000Z</x:v>
      </x:c>
      <x:c r="E18" s="16" t="n">
        <x:v>1540000</x:v>
      </x:c>
      <x:c r="F18" s="2" t="str">
        <x:v>Sí</x:v>
      </x:c>
      <x:c r="G18" s="2" t="str">
        <x:v>comprobante</x:v>
      </x:c>
      <x:c r="H18" s="2" t="str">
        <x:v>evidencias/FAC-2-0006-comprobante.pdf</x:v>
      </x:c>
    </x:row>
    <x:row r="19">
      <x:c r="A19" s="2" t="str">
        <x:v>PAGO-0018</x:v>
      </x:c>
      <x:c r="B19" s="2" t="str">
        <x:v>FAC-2-0008</x:v>
      </x:c>
      <x:c r="C19" s="2" t="str">
        <x:v>76543210-3</x:v>
      </x:c>
      <x:c r="D19" s="15" t="d">
        <x:v>2026-07-20T00:00:00.000Z</x:v>
      </x:c>
      <x:c r="E19" s="16" t="n">
        <x:v>1886000</x:v>
      </x:c>
      <x:c r="F19" s="2" t="str">
        <x:v>Sí</x:v>
      </x:c>
      <x:c r="G19" s="2" t="str">
        <x:v>cartola</x:v>
      </x:c>
      <x:c r="H19" s="2" t="str">
        <x:v>evidencias/FAC-2-0008-comprobante.pdf</x:v>
      </x:c>
    </x:row>
    <x:row r="20">
      <x:c r="A20" s="2" t="str">
        <x:v>PAGO-0019</x:v>
      </x:c>
      <x:c r="B20" s="2" t="str">
        <x:v>FAC-2-0009</x:v>
      </x:c>
      <x:c r="C20" s="2" t="str">
        <x:v>76543210-3</x:v>
      </x:c>
      <x:c r="D20" s="15" t="d">
        <x:v>2026-08-23T00:00:00.000Z</x:v>
      </x:c>
      <x:c r="E20" s="16" t="n">
        <x:v>2059000</x:v>
      </x:c>
      <x:c r="F20" s="2" t="str">
        <x:v>Sí</x:v>
      </x:c>
      <x:c r="G20" s="2" t="str">
        <x:v>comprobante</x:v>
      </x:c>
      <x:c r="H20" s="2" t="str">
        <x:v>evidencias/FAC-2-0009-comprobante.pdf</x:v>
      </x:c>
    </x:row>
    <x:row r="21">
      <x:c r="A21" s="2" t="str">
        <x:v>PAGO-0020</x:v>
      </x:c>
      <x:c r="B21" s="2" t="str">
        <x:v>FAC-2-0010</x:v>
      </x:c>
      <x:c r="C21" s="2" t="str">
        <x:v>76543210-3</x:v>
      </x:c>
      <x:c r="D21" s="15" t="d">
        <x:v>2026-08-07T00:00:00.000Z</x:v>
      </x:c>
      <x:c r="E21" s="16" t="n">
        <x:v>2232000</x:v>
      </x:c>
      <x:c r="F21" s="2" t="str">
        <x:v>Sí</x:v>
      </x:c>
      <x:c r="G21" s="2" t="str">
        <x:v>comprobante</x:v>
      </x:c>
      <x:c r="H21" s="2" t="str">
        <x:v>evidencias/FAC-2-0010-comprobante.pdf</x:v>
      </x:c>
    </x:row>
    <x:row r="22">
      <x:c r="A22" s="2" t="str">
        <x:v>PAGO-0021</x:v>
      </x:c>
      <x:c r="B22" s="2" t="str">
        <x:v>FAC-2-0015</x:v>
      </x:c>
      <x:c r="C22" s="2" t="str">
        <x:v>76543210-3</x:v>
      </x:c>
      <x:c r="D22" s="15" t="d">
        <x:v>2026-09-03T00:00:00.000Z</x:v>
      </x:c>
      <x:c r="E22" s="16" t="n">
        <x:v>3097000</x:v>
      </x:c>
      <x:c r="F22" s="2" t="str">
        <x:v>No</x:v>
      </x:c>
      <x:c r="G22" s="2" t="str">
        <x:v>cartola</x:v>
      </x:c>
      <x:c r="H22" s="2" t="str">
        <x:v>evidencias/FAC-2-0015-comprobante.pdf</x:v>
      </x:c>
    </x:row>
    <x:row r="23">
      <x:c r="A23" s="2" t="str">
        <x:v>PAGO-0022</x:v>
      </x:c>
      <x:c r="B23" s="2" t="str">
        <x:v>FAC-2-0016</x:v>
      </x:c>
      <x:c r="C23" s="2" t="str">
        <x:v>76543210-3</x:v>
      </x:c>
      <x:c r="D23" s="15" t="d">
        <x:v>2026-08-31T00:00:00.000Z</x:v>
      </x:c>
      <x:c r="E23" s="16" t="n">
        <x:v>3270000</x:v>
      </x:c>
      <x:c r="F23" s="2" t="str">
        <x:v>Sí</x:v>
      </x:c>
      <x:c r="G23" s="2" t="str">
        <x:v>comprobante</x:v>
      </x:c>
      <x:c r="H23" s="2" t="str">
        <x:v>evidencias/FAC-2-0016-comprobante.pdf</x:v>
      </x:c>
    </x:row>
    <x:row r="24">
      <x:c r="A24" s="2" t="str">
        <x:v>PAGO-0023</x:v>
      </x:c>
      <x:c r="B24" s="2" t="str">
        <x:v>FAC-2-0018</x:v>
      </x:c>
      <x:c r="C24" s="2" t="str">
        <x:v>76543210-3</x:v>
      </x:c>
      <x:c r="D24" s="15" t="d">
        <x:v>2026-08-19T00:00:00.000Z</x:v>
      </x:c>
      <x:c r="E24" s="16" t="n">
        <x:v>3616000</x:v>
      </x:c>
      <x:c r="F24" s="2" t="str">
        <x:v>Sí</x:v>
      </x:c>
      <x:c r="G24" s="2" t="str">
        <x:v>comprobante</x:v>
      </x:c>
      <x:c r="H24" s="2" t="str">
        <x:v>evidencias/FAC-2-0018-comprobante.pdf</x:v>
      </x:c>
    </x:row>
    <x:row r="25">
      <x:c r="A25" s="2" t="str">
        <x:v>PAGO-0024</x:v>
      </x:c>
      <x:c r="B25" s="2" t="str">
        <x:v>FAC-2-0019</x:v>
      </x:c>
      <x:c r="C25" s="2" t="str">
        <x:v>76543210-3</x:v>
      </x:c>
      <x:c r="D25" s="15" t="d">
        <x:v>2026-09-22T00:00:00.000Z</x:v>
      </x:c>
      <x:c r="E25" s="16" t="n">
        <x:v>3789000</x:v>
      </x:c>
      <x:c r="F25" s="2" t="str">
        <x:v>Sí</x:v>
      </x:c>
      <x:c r="G25" s="2" t="str">
        <x:v>cartola</x:v>
      </x:c>
      <x:c r="H25" s="2" t="str">
        <x:v>evidencias/FAC-2-0019-comprobante.pdf</x:v>
      </x:c>
    </x:row>
    <x:row r="26">
      <x:c r="A26" s="2" t="str">
        <x:v>PAGO-0025</x:v>
      </x:c>
      <x:c r="B26" s="2" t="str">
        <x:v>FAC-2-0020</x:v>
      </x:c>
      <x:c r="C26" s="2" t="str">
        <x:v>76543210-3</x:v>
      </x:c>
      <x:c r="D26" s="15" t="d">
        <x:v>2026-09-06T00:00:00.000Z</x:v>
      </x:c>
      <x:c r="E26" s="16" t="n">
        <x:v>3962000</x:v>
      </x:c>
      <x:c r="F26" s="2" t="str">
        <x:v>Sí</x:v>
      </x:c>
      <x:c r="G26" s="2" t="str">
        <x:v>comprobante</x:v>
      </x:c>
      <x:c r="H26" s="2" t="str">
        <x:v>evidencias/FAC-2-0020-comprobante.pdf</x:v>
      </x:c>
    </x:row>
    <x:row r="27">
      <x:c r="A27" s="2" t="str">
        <x:v>PAGO-0026</x:v>
      </x:c>
      <x:c r="B27" s="2" t="str">
        <x:v>FAC-2-0025</x:v>
      </x:c>
      <x:c r="C27" s="2" t="str">
        <x:v>76543210-3</x:v>
      </x:c>
      <x:c r="D27" s="15" t="d">
        <x:v>2026-10-03T00:00:00.000Z</x:v>
      </x:c>
      <x:c r="E27" s="16" t="n">
        <x:v>4827000</x:v>
      </x:c>
      <x:c r="F27" s="2" t="str">
        <x:v>Sí</x:v>
      </x:c>
      <x:c r="G27" s="2" t="str">
        <x:v>comprobante</x:v>
      </x:c>
      <x:c r="H27" s="2" t="str">
        <x:v>evidencias/FAC-2-0025-comprobante.pdf</x:v>
      </x:c>
    </x:row>
    <x:row r="28">
      <x:c r="A28" s="2" t="str">
        <x:v>PAGO-0027</x:v>
      </x:c>
      <x:c r="B28" s="2" t="str">
        <x:v>FAC-2-0026</x:v>
      </x:c>
      <x:c r="C28" s="2" t="str">
        <x:v>76543210-3</x:v>
      </x:c>
      <x:c r="D28" s="15" t="d">
        <x:v>2026-09-30T00:00:00.000Z</x:v>
      </x:c>
      <x:c r="E28" s="16" t="n">
        <x:v>5000000</x:v>
      </x:c>
      <x:c r="F28" s="2" t="str">
        <x:v>Sí</x:v>
      </x:c>
      <x:c r="G28" s="2" t="str">
        <x:v>cartola</x:v>
      </x:c>
      <x:c r="H28" s="2" t="str">
        <x:v>evidencias/FAC-2-0026-comprobante.pdf</x:v>
      </x:c>
    </x:row>
    <x:row r="29">
      <x:c r="A29" s="2" t="str">
        <x:v>PAGO-0028</x:v>
      </x:c>
      <x:c r="B29" s="2" t="str">
        <x:v>FAC-2-0028</x:v>
      </x:c>
      <x:c r="C29" s="2" t="str">
        <x:v>76543210-3</x:v>
      </x:c>
      <x:c r="D29" s="15" t="d">
        <x:v>2026-09-18T00:00:00.000Z</x:v>
      </x:c>
      <x:c r="E29" s="16" t="n">
        <x:v>5346000</x:v>
      </x:c>
      <x:c r="F29" s="2" t="str">
        <x:v>No</x:v>
      </x:c>
      <x:c r="G29" s="2" t="str">
        <x:v>comprobante</x:v>
      </x:c>
      <x:c r="H29" s="2" t="str">
        <x:v>evidencias/FAC-2-0028-comprobante.pdf</x:v>
      </x:c>
    </x:row>
    <x:row r="30">
      <x:c r="A30" s="2" t="str">
        <x:v>PAGO-0029</x:v>
      </x:c>
      <x:c r="B30" s="2" t="str">
        <x:v>FAC-2-0030</x:v>
      </x:c>
      <x:c r="C30" s="2" t="str">
        <x:v>76543210-3</x:v>
      </x:c>
      <x:c r="D30" s="15" t="d">
        <x:v>2026-10-06T00:00:00.000Z</x:v>
      </x:c>
      <x:c r="E30" s="16" t="n">
        <x:v>5692000</x:v>
      </x:c>
      <x:c r="F30" s="2" t="str">
        <x:v>Sí</x:v>
      </x:c>
      <x:c r="G30" s="2" t="str">
        <x:v>comprobante</x:v>
      </x:c>
      <x:c r="H30" s="2" t="str">
        <x:v>evidencias/FAC-2-0030-comprobante.pdf</x:v>
      </x:c>
    </x:row>
    <x:row r="31">
      <x:c r="A31" s="2" t="str">
        <x:v>PAGO-0030</x:v>
      </x:c>
      <x:c r="B31" s="2" t="str">
        <x:v>FAC-3-0002</x:v>
      </x:c>
      <x:c r="C31" s="2" t="str">
        <x:v>77345678-K</x:v>
      </x:c>
      <x:c r="D31" s="15" t="d">
        <x:v>2026-07-27T00:00:00.000Z</x:v>
      </x:c>
      <x:c r="E31" s="16" t="n">
        <x:v>1143000</x:v>
      </x:c>
      <x:c r="F31" s="2" t="str">
        <x:v>Sí</x:v>
      </x:c>
      <x:c r="G31" s="2" t="str">
        <x:v>cartola</x:v>
      </x:c>
      <x:c r="H31" s="2" t="str">
        <x:v>evidencias/FAC-3-0002-comprobante.pdf</x:v>
      </x:c>
    </x:row>
    <x:row r="32">
      <x:c r="A32" s="2" t="str">
        <x:v>PAGO-0031</x:v>
      </x:c>
      <x:c r="B32" s="2" t="str">
        <x:v>FAC-3-0003</x:v>
      </x:c>
      <x:c r="C32" s="2" t="str">
        <x:v>77345678-K</x:v>
      </x:c>
      <x:c r="D32" s="15" t="d">
        <x:v>2026-07-24T00:00:00.000Z</x:v>
      </x:c>
      <x:c r="E32" s="16" t="n">
        <x:v>1316000</x:v>
      </x:c>
      <x:c r="F32" s="2" t="str">
        <x:v>Sí</x:v>
      </x:c>
      <x:c r="G32" s="2" t="str">
        <x:v>comprobante</x:v>
      </x:c>
      <x:c r="H32" s="2" t="str">
        <x:v>evidencias/FAC-3-0003-comprobante.pdf</x:v>
      </x:c>
    </x:row>
    <x:row r="33">
      <x:c r="A33" s="2" t="str">
        <x:v>PAGO-0032</x:v>
      </x:c>
      <x:c r="B33" s="2" t="str">
        <x:v>FAC-3-0005</x:v>
      </x:c>
      <x:c r="C33" s="2" t="str">
        <x:v>77345678-K</x:v>
      </x:c>
      <x:c r="D33" s="15" t="d">
        <x:v>2026-07-12T00:00:00.000Z</x:v>
      </x:c>
      <x:c r="E33" s="16" t="n">
        <x:v>1662000</x:v>
      </x:c>
      <x:c r="F33" s="2" t="str">
        <x:v>Sí</x:v>
      </x:c>
      <x:c r="G33" s="2" t="str">
        <x:v>comprobante</x:v>
      </x:c>
      <x:c r="H33" s="2" t="str">
        <x:v>evidencias/FAC-3-0005-comprobante.pdf</x:v>
      </x:c>
    </x:row>
    <x:row r="34">
      <x:c r="A34" s="2" t="str">
        <x:v>PAGO-0033</x:v>
      </x:c>
      <x:c r="B34" s="2" t="str">
        <x:v>FAC-3-0006</x:v>
      </x:c>
      <x:c r="C34" s="2" t="str">
        <x:v>77345678-K</x:v>
      </x:c>
      <x:c r="D34" s="15" t="d">
        <x:v>2026-08-15T00:00:00.000Z</x:v>
      </x:c>
      <x:c r="E34" s="16" t="n">
        <x:v>1835000</x:v>
      </x:c>
      <x:c r="F34" s="2" t="str">
        <x:v>Sí</x:v>
      </x:c>
      <x:c r="G34" s="2" t="str">
        <x:v>cartola</x:v>
      </x:c>
      <x:c r="H34" s="2" t="str">
        <x:v>evidencias/FAC-3-0006-comprobante.pdf</x:v>
      </x:c>
    </x:row>
    <x:row r="35">
      <x:c r="A35" s="2" t="str">
        <x:v>PAGO-0034</x:v>
      </x:c>
      <x:c r="B35" s="2" t="str">
        <x:v>FAC-3-0007</x:v>
      </x:c>
      <x:c r="C35" s="2" t="str">
        <x:v>77345678-K</x:v>
      </x:c>
      <x:c r="D35" s="15" t="d">
        <x:v>2026-07-30T00:00:00.000Z</x:v>
      </x:c>
      <x:c r="E35" s="16" t="n">
        <x:v>2008000</x:v>
      </x:c>
      <x:c r="F35" s="2" t="str">
        <x:v>Sí</x:v>
      </x:c>
      <x:c r="G35" s="2" t="str">
        <x:v>comprobante</x:v>
      </x:c>
      <x:c r="H35" s="2" t="str">
        <x:v>evidencias/FAC-3-0007-comprobante.pdf</x:v>
      </x:c>
    </x:row>
    <x:row r="36">
      <x:c r="A36" s="2" t="str">
        <x:v>PAGO-0035</x:v>
      </x:c>
      <x:c r="B36" s="2" t="str">
        <x:v>FAC-3-0012</x:v>
      </x:c>
      <x:c r="C36" s="2" t="str">
        <x:v>77345678-K</x:v>
      </x:c>
      <x:c r="D36" s="15" t="d">
        <x:v>2026-08-26T00:00:00.000Z</x:v>
      </x:c>
      <x:c r="E36" s="16" t="n">
        <x:v>2873000</x:v>
      </x:c>
      <x:c r="F36" s="2" t="str">
        <x:v>No</x:v>
      </x:c>
      <x:c r="G36" s="2" t="str">
        <x:v>comprobante</x:v>
      </x:c>
      <x:c r="H36" s="2" t="str">
        <x:v>evidencias/FAC-3-0012-comprobante.pdf</x:v>
      </x:c>
    </x:row>
    <x:row r="37">
      <x:c r="A37" s="2" t="str">
        <x:v>PAGO-0036</x:v>
      </x:c>
      <x:c r="B37" s="2" t="str">
        <x:v>FAC-3-0013</x:v>
      </x:c>
      <x:c r="C37" s="2" t="str">
        <x:v>77345678-K</x:v>
      </x:c>
      <x:c r="D37" s="15" t="d">
        <x:v>2026-08-23T00:00:00.000Z</x:v>
      </x:c>
      <x:c r="E37" s="16" t="n">
        <x:v>3046000</x:v>
      </x:c>
      <x:c r="F37" s="2" t="str">
        <x:v>Sí</x:v>
      </x:c>
      <x:c r="G37" s="2" t="str">
        <x:v>cartola</x:v>
      </x:c>
      <x:c r="H37" s="2" t="str">
        <x:v>evidencias/FAC-3-0013-comprobante.pdf</x:v>
      </x:c>
    </x:row>
    <x:row r="38">
      <x:c r="A38" s="2" t="str">
        <x:v>PAGO-0037</x:v>
      </x:c>
      <x:c r="B38" s="2" t="str">
        <x:v>FAC-3-0015</x:v>
      </x:c>
      <x:c r="C38" s="2" t="str">
        <x:v>77345678-K</x:v>
      </x:c>
      <x:c r="D38" s="15" t="d">
        <x:v>2026-08-11T00:00:00.000Z</x:v>
      </x:c>
      <x:c r="E38" s="16" t="n">
        <x:v>3392000</x:v>
      </x:c>
      <x:c r="F38" s="2" t="str">
        <x:v>Sí</x:v>
      </x:c>
      <x:c r="G38" s="2" t="str">
        <x:v>comprobante</x:v>
      </x:c>
      <x:c r="H38" s="2" t="str">
        <x:v>evidencias/FAC-3-0015-comprobante.pdf</x:v>
      </x:c>
    </x:row>
    <x:row r="39">
      <x:c r="A39" s="2" t="str">
        <x:v>PAGO-0038</x:v>
      </x:c>
      <x:c r="B39" s="2" t="str">
        <x:v>FAC-3-0016</x:v>
      </x:c>
      <x:c r="C39" s="2" t="str">
        <x:v>77345678-K</x:v>
      </x:c>
      <x:c r="D39" s="15" t="d">
        <x:v>2026-09-14T00:00:00.000Z</x:v>
      </x:c>
      <x:c r="E39" s="16" t="n">
        <x:v>3565000</x:v>
      </x:c>
      <x:c r="F39" s="2" t="str">
        <x:v>Sí</x:v>
      </x:c>
      <x:c r="G39" s="2" t="str">
        <x:v>comprobante</x:v>
      </x:c>
      <x:c r="H39" s="2" t="str">
        <x:v>evidencias/FAC-3-0016-comprobante.pdf</x:v>
      </x:c>
    </x:row>
    <x:row r="40">
      <x:c r="A40" s="2" t="str">
        <x:v>PAGO-0039</x:v>
      </x:c>
      <x:c r="B40" s="2" t="str">
        <x:v>FAC-3-0017</x:v>
      </x:c>
      <x:c r="C40" s="2" t="str">
        <x:v>77345678-K</x:v>
      </x:c>
      <x:c r="D40" s="15" t="d">
        <x:v>2026-08-29T00:00:00.000Z</x:v>
      </x:c>
      <x:c r="E40" s="16" t="n">
        <x:v>3738000</x:v>
      </x:c>
      <x:c r="F40" s="2" t="str">
        <x:v>Sí</x:v>
      </x:c>
      <x:c r="G40" s="2" t="str">
        <x:v>cartola</x:v>
      </x:c>
      <x:c r="H40" s="2" t="str">
        <x:v>evidencias/FAC-3-0017-comprobante.pdf</x:v>
      </x:c>
    </x:row>
    <x:row r="41">
      <x:c r="A41" s="2" t="str">
        <x:v>PAGO-0040</x:v>
      </x:c>
      <x:c r="B41" s="2" t="str">
        <x:v>FAC-3-0022</x:v>
      </x:c>
      <x:c r="C41" s="2" t="str">
        <x:v>77345678-K</x:v>
      </x:c>
      <x:c r="D41" s="15" t="d">
        <x:v>2026-09-25T00:00:00.000Z</x:v>
      </x:c>
      <x:c r="E41" s="16" t="n">
        <x:v>4603000</x:v>
      </x:c>
      <x:c r="F41" s="2" t="str">
        <x:v>Sí</x:v>
      </x:c>
      <x:c r="G41" s="2" t="str">
        <x:v>comprobante</x:v>
      </x:c>
      <x:c r="H41" s="2" t="str">
        <x:v>evidencias/FAC-3-0022-comprobante.pdf</x:v>
      </x:c>
    </x:row>
    <x:row r="42">
      <x:c r="A42" s="2" t="str">
        <x:v>PAGO-0041</x:v>
      </x:c>
      <x:c r="B42" s="2" t="str">
        <x:v>FAC-3-0023</x:v>
      </x:c>
      <x:c r="C42" s="2" t="str">
        <x:v>77345678-K</x:v>
      </x:c>
      <x:c r="D42" s="15" t="d">
        <x:v>2026-09-22T00:00:00.000Z</x:v>
      </x:c>
      <x:c r="E42" s="16" t="n">
        <x:v>4776000</x:v>
      </x:c>
      <x:c r="F42" s="2" t="str">
        <x:v>Sí</x:v>
      </x:c>
      <x:c r="G42" s="2" t="str">
        <x:v>comprobante</x:v>
      </x:c>
      <x:c r="H42" s="2" t="str">
        <x:v>evidencias/FAC-3-0023-comprobante.pdf</x:v>
      </x:c>
    </x:row>
    <x:row r="43">
      <x:c r="A43" s="2" t="str">
        <x:v>PAGO-0042</x:v>
      </x:c>
      <x:c r="B43" s="2" t="str">
        <x:v>FAC-3-0025</x:v>
      </x:c>
      <x:c r="C43" s="2" t="str">
        <x:v>77345678-K</x:v>
      </x:c>
      <x:c r="D43" s="15" t="d">
        <x:v>2026-09-10T00:00:00.000Z</x:v>
      </x:c>
      <x:c r="E43" s="16" t="n">
        <x:v>5122000</x:v>
      </x:c>
      <x:c r="F43" s="2" t="str">
        <x:v>No</x:v>
      </x:c>
      <x:c r="G43" s="2" t="str">
        <x:v>cartola</x:v>
      </x:c>
      <x:c r="H43" s="2" t="str">
        <x:v>evidencias/FAC-3-0025-comprobante.pdf</x:v>
      </x:c>
    </x:row>
    <x:row r="44">
      <x:c r="A44" s="2" t="str">
        <x:v>PAGO-0043</x:v>
      </x:c>
      <x:c r="B44" s="2" t="str">
        <x:v>FAC-3-0026</x:v>
      </x:c>
      <x:c r="C44" s="2" t="str">
        <x:v>77345678-K</x:v>
      </x:c>
      <x:c r="D44" s="15" t="d">
        <x:v>2026-10-14T00:00:00.000Z</x:v>
      </x:c>
      <x:c r="E44" s="16" t="n">
        <x:v>5295000</x:v>
      </x:c>
      <x:c r="F44" s="2" t="str">
        <x:v>Sí</x:v>
      </x:c>
      <x:c r="G44" s="2" t="str">
        <x:v>comprobante</x:v>
      </x:c>
      <x:c r="H44" s="2" t="str">
        <x:v>evidencias/FAC-3-0026-comprobante.pdf</x:v>
      </x:c>
    </x:row>
    <x:row r="45">
      <x:c r="A45" s="2" t="str">
        <x:v>PAGO-0044</x:v>
      </x:c>
      <x:c r="B45" s="2" t="str">
        <x:v>FAC-3-0027</x:v>
      </x:c>
      <x:c r="C45" s="2" t="str">
        <x:v>77345678-K</x:v>
      </x:c>
      <x:c r="D45" s="15" t="d">
        <x:v>2026-09-28T00:00:00.000Z</x:v>
      </x:c>
      <x:c r="E45" s="16" t="n">
        <x:v>5468000</x:v>
      </x:c>
      <x:c r="F45" s="2" t="str">
        <x:v>Sí</x:v>
      </x:c>
      <x:c r="G45" s="2" t="str">
        <x:v>comprobante</x:v>
      </x:c>
      <x:c r="H45" s="2" t="str">
        <x:v>evidencias/FAC-3-0027-comprobante.pdf</x:v>
      </x:c>
    </x:row>
    <x:row r="46">
      <x:c r="A46" s="2" t="str">
        <x:v>PAGO-0045</x:v>
      </x:c>
      <x:c r="B46" s="2" t="str">
        <x:v>FAC-3-0035</x:v>
      </x:c>
      <x:c r="C46" s="2" t="str">
        <x:v>77345678-K</x:v>
      </x:c>
      <x:c r="D46" s="15" t="d">
        <x:v>2026-10-10T00:00:00.000Z</x:v>
      </x:c>
      <x:c r="E46" s="16" t="n">
        <x:v>1452000</x:v>
      </x:c>
      <x:c r="F46" s="2" t="str">
        <x:v>Sí</x:v>
      </x:c>
      <x:c r="G46" s="2" t="str">
        <x:v>cartola</x:v>
      </x:c>
      <x:c r="H46" s="2" t="str">
        <x:v>evidencias/FAC-3-0035-comprobante.pdf</x:v>
      </x:c>
    </x:row>
  </x:sheetData>
  <x:pageMargins left="0.7" right="0.7" top="0.75" bottom="0.75" header="0.3" footer="0.3"/>
  <x:tableParts count="1">
    <x:tablePart xmlns:r="http://schemas.openxmlformats.org/officeDocument/2006/relationships" r:id="Rada79e857c7b42e3"/>
  </x:tableParts>
</x:worksheet>
</file>

<file path=xl/worksheets/sheet7.xml><?xml version="1.0" encoding="utf-8"?>
<x:worksheet xmlns:x="http://schemas.openxmlformats.org/spreadsheetml/2006/main">
  <x:sheetPr>
    <x:tabColor rgb="FF7AAE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11.25" hidden="0" customWidth="1"/>
    <x:col min="3" max="3" width="11.25" hidden="0" customWidth="1"/>
    <x:col min="4" max="4" width="13.380000114440918" hidden="0" customWidth="1"/>
    <x:col min="5" max="5" width="8.630000114440918" hidden="0" customWidth="1"/>
    <x:col min="6" max="6" width="13.380000114440918" hidden="0" customWidth="1"/>
    <x:col min="7" max="7" width="12.380000114440918" hidden="0" customWidth="1"/>
    <x:col min="8" max="8" width="42" hidden="0" customWidth="1"/>
  </x:cols>
  <x:sheetData>
    <x:row r="1" ht="34" customHeight="1">
      <x:c r="A1" s="11" t="str">
        <x:v>Ítem ID</x:v>
      </x:c>
      <x:c r="B1" s="12" t="str">
        <x:v>Factura ID</x:v>
      </x:c>
      <x:c r="C1" s="12" t="str">
        <x:v>RUT pyme</x:v>
      </x:c>
      <x:c r="D1" s="12" t="str">
        <x:v>Tipo</x:v>
      </x:c>
      <x:c r="E1" s="12" t="str">
        <x:v>Estado</x:v>
      </x:c>
      <x:c r="F1" s="12" t="str">
        <x:v>Responsable</x:v>
      </x:c>
      <x:c r="G1" s="12" t="str">
        <x:v>Actualizado</x:v>
      </x:c>
      <x:c r="H1" s="13" t="str">
        <x:v>Evidencia</x:v>
      </x:c>
    </x:row>
    <x:row r="2">
      <x:c r="A2" s="2" t="str">
        <x:v>CHK-00001</x:v>
      </x:c>
      <x:c r="B2" s="2" t="str">
        <x:v>FAC-1-0001</x:v>
      </x:c>
      <x:c r="C2" s="2" t="str">
        <x:v>76123456-0</x:v>
      </x:c>
      <x:c r="D2" s="2" t="str">
        <x:v>aceptacion_sii</x:v>
      </x:c>
      <x:c r="E2" s="2" t="str">
        <x:v>cumplido</x:v>
      </x:c>
      <x:c r="F2" s="2" t="str">
        <x:v>operador</x:v>
      </x:c>
      <x:c r="G2" s="15" t="d">
        <x:v>2026-07-13T00:00:00.000Z</x:v>
      </x:c>
      <x:c r="H2" s="2" t="str">
        <x:v>evidencias/FAC-1-0001-aceptacion_sii.pdf</x:v>
      </x:c>
    </x:row>
    <x:row r="3">
      <x:c r="A3" s="2" t="str">
        <x:v>CHK-00002</x:v>
      </x:c>
      <x:c r="B3" s="2" t="str">
        <x:v>FAC-1-0001</x:v>
      </x:c>
      <x:c r="C3" s="2" t="str">
        <x:v>76123456-0</x:v>
      </x:c>
      <x:c r="D3" s="2" t="str">
        <x:v>orden_compra</x:v>
      </x:c>
      <x:c r="E3" s="2" t="str">
        <x:v>cumplido</x:v>
      </x:c>
      <x:c r="F3" s="2" t="str">
        <x:v>pagador</x:v>
      </x:c>
      <x:c r="G3" s="15" t="d">
        <x:v>2026-07-13T00:00:00.000Z</x:v>
      </x:c>
      <x:c r="H3" s="2" t="str">
        <x:v>evidencias/FAC-1-0001-orden_compra.pdf</x:v>
      </x:c>
    </x:row>
    <x:row r="4">
      <x:c r="A4" s="2" t="str">
        <x:v>CHK-00003</x:v>
      </x:c>
      <x:c r="B4" s="2" t="str">
        <x:v>FAC-1-0001</x:v>
      </x:c>
      <x:c r="C4" s="2" t="str">
        <x:v>76123456-0</x:v>
      </x:c>
      <x:c r="D4" s="2" t="str">
        <x:v>hes_conformidad</x:v>
      </x:c>
      <x:c r="E4" s="2" t="str">
        <x:v>cumplido</x:v>
      </x:c>
      <x:c r="F4" s="2" t="str">
        <x:v>pagador</x:v>
      </x:c>
      <x:c r="G4" s="15" t="d">
        <x:v>2026-07-13T00:00:00.000Z</x:v>
      </x:c>
      <x:c r="H4" s="2" t="str">
        <x:v>evidencias/FAC-1-0001-hes_conformidad.pdf</x:v>
      </x:c>
    </x:row>
    <x:row r="5">
      <x:c r="A5" s="2" t="str">
        <x:v>CHK-00004</x:v>
      </x:c>
      <x:c r="B5" s="2" t="str">
        <x:v>FAC-1-0001</x:v>
      </x:c>
      <x:c r="C5" s="2" t="str">
        <x:v>76123456-0</x:v>
      </x:c>
      <x:c r="D5" s="2" t="str">
        <x:v>portal_proveedor</x:v>
      </x:c>
      <x:c r="E5" s="2" t="str">
        <x:v>cumplido</x:v>
      </x:c>
      <x:c r="F5" s="2" t="str">
        <x:v>operador</x:v>
      </x:c>
      <x:c r="G5" s="15" t="d">
        <x:v>2026-07-13T00:00:00.000Z</x:v>
      </x:c>
      <x:c r="H5" s="2" t="str">
        <x:v>evidencias/FAC-1-0001-portal_proveedor.pdf</x:v>
      </x:c>
    </x:row>
    <x:row r="6">
      <x:c r="A6" s="2" t="str">
        <x:v>CHK-00005</x:v>
      </x:c>
      <x:c r="B6" s="2" t="str">
        <x:v>FAC-1-0002</x:v>
      </x:c>
      <x:c r="C6" s="2" t="str">
        <x:v>76123456-0</x:v>
      </x:c>
      <x:c r="D6" s="2" t="str">
        <x:v>aceptacion_sii</x:v>
      </x:c>
      <x:c r="E6" s="2" t="str">
        <x:v>cumplido</x:v>
      </x:c>
      <x:c r="F6" s="2" t="str">
        <x:v>operador</x:v>
      </x:c>
      <x:c r="G6" s="15" t="d">
        <x:v>2026-07-17T00:00:00.000Z</x:v>
      </x:c>
      <x:c r="H6" s="2" t="str">
        <x:v>evidencias/FAC-1-0002-aceptacion_sii.pdf</x:v>
      </x:c>
    </x:row>
    <x:row r="7">
      <x:c r="A7" s="2" t="str">
        <x:v>CHK-00006</x:v>
      </x:c>
      <x:c r="B7" s="2" t="str">
        <x:v>FAC-1-0002</x:v>
      </x:c>
      <x:c r="C7" s="2" t="str">
        <x:v>76123456-0</x:v>
      </x:c>
      <x:c r="D7" s="2" t="str">
        <x:v>orden_compra</x:v>
      </x:c>
      <x:c r="E7" s="2" t="str">
        <x:v>cumplido</x:v>
      </x:c>
      <x:c r="F7" s="2" t="str">
        <x:v>pagador</x:v>
      </x:c>
      <x:c r="G7" s="15" t="d">
        <x:v>2026-07-17T00:00:00.000Z</x:v>
      </x:c>
      <x:c r="H7" s="2" t="str">
        <x:v>evidencias/FAC-1-0002-orden_compra.pdf</x:v>
      </x:c>
    </x:row>
    <x:row r="8">
      <x:c r="A8" s="2" t="str">
        <x:v>CHK-00007</x:v>
      </x:c>
      <x:c r="B8" s="2" t="str">
        <x:v>FAC-1-0002</x:v>
      </x:c>
      <x:c r="C8" s="2" t="str">
        <x:v>76123456-0</x:v>
      </x:c>
      <x:c r="D8" s="2" t="str">
        <x:v>hes_conformidad</x:v>
      </x:c>
      <x:c r="E8" s="2" t="str">
        <x:v>no_aplica</x:v>
      </x:c>
      <x:c r="F8" s="2" t="str">
        <x:v>sistema</x:v>
      </x:c>
      <x:c r="G8" s="15" t="d">
        <x:v>2026-07-17T00:00:00.000Z</x:v>
      </x:c>
      <x:c r="H8" s="2" t="str"/>
    </x:row>
    <x:row r="9">
      <x:c r="A9" s="2" t="str">
        <x:v>CHK-00008</x:v>
      </x:c>
      <x:c r="B9" s="2" t="str">
        <x:v>FAC-1-0002</x:v>
      </x:c>
      <x:c r="C9" s="2" t="str">
        <x:v>76123456-0</x:v>
      </x:c>
      <x:c r="D9" s="2" t="str">
        <x:v>portal_proveedor</x:v>
      </x:c>
      <x:c r="E9" s="2" t="str">
        <x:v>cumplido</x:v>
      </x:c>
      <x:c r="F9" s="2" t="str">
        <x:v>operador</x:v>
      </x:c>
      <x:c r="G9" s="15" t="d">
        <x:v>2026-07-17T00:00:00.000Z</x:v>
      </x:c>
      <x:c r="H9" s="2" t="str">
        <x:v>evidencias/FAC-1-0002-portal_proveedor.pdf</x:v>
      </x:c>
    </x:row>
    <x:row r="10">
      <x:c r="A10" s="2" t="str">
        <x:v>CHK-00009</x:v>
      </x:c>
      <x:c r="B10" s="2" t="str">
        <x:v>FAC-1-0003</x:v>
      </x:c>
      <x:c r="C10" s="2" t="str">
        <x:v>76123456-0</x:v>
      </x:c>
      <x:c r="D10" s="2" t="str">
        <x:v>aceptacion_sii</x:v>
      </x:c>
      <x:c r="E10" s="2" t="str">
        <x:v>cumplido</x:v>
      </x:c>
      <x:c r="F10" s="2" t="str">
        <x:v>operador</x:v>
      </x:c>
      <x:c r="G10" s="15" t="d">
        <x:v>2026-07-31T00:00:00.000Z</x:v>
      </x:c>
      <x:c r="H10" s="2" t="str">
        <x:v>evidencias/FAC-1-0003-aceptacion_sii.pdf</x:v>
      </x:c>
    </x:row>
    <x:row r="11">
      <x:c r="A11" s="2" t="str">
        <x:v>CHK-00010</x:v>
      </x:c>
      <x:c r="B11" s="2" t="str">
        <x:v>FAC-1-0003</x:v>
      </x:c>
      <x:c r="C11" s="2" t="str">
        <x:v>76123456-0</x:v>
      </x:c>
      <x:c r="D11" s="2" t="str">
        <x:v>orden_compra</x:v>
      </x:c>
      <x:c r="E11" s="2" t="str">
        <x:v>cumplido</x:v>
      </x:c>
      <x:c r="F11" s="2" t="str">
        <x:v>pagador</x:v>
      </x:c>
      <x:c r="G11" s="15" t="d">
        <x:v>2026-07-31T00:00:00.000Z</x:v>
      </x:c>
      <x:c r="H11" s="2" t="str">
        <x:v>evidencias/FAC-1-0003-orden_compra.pdf</x:v>
      </x:c>
    </x:row>
    <x:row r="12">
      <x:c r="A12" s="2" t="str">
        <x:v>CHK-00011</x:v>
      </x:c>
      <x:c r="B12" s="2" t="str">
        <x:v>FAC-1-0003</x:v>
      </x:c>
      <x:c r="C12" s="2" t="str">
        <x:v>76123456-0</x:v>
      </x:c>
      <x:c r="D12" s="2" t="str">
        <x:v>hes_conformidad</x:v>
      </x:c>
      <x:c r="E12" s="2" t="str">
        <x:v>cumplido</x:v>
      </x:c>
      <x:c r="F12" s="2" t="str">
        <x:v>pagador</x:v>
      </x:c>
      <x:c r="G12" s="15" t="d">
        <x:v>2026-07-31T00:00:00.000Z</x:v>
      </x:c>
      <x:c r="H12" s="2" t="str">
        <x:v>evidencias/FAC-1-0003-hes_conformidad.pdf</x:v>
      </x:c>
    </x:row>
    <x:row r="13">
      <x:c r="A13" s="2" t="str">
        <x:v>CHK-00012</x:v>
      </x:c>
      <x:c r="B13" s="2" t="str">
        <x:v>FAC-1-0003</x:v>
      </x:c>
      <x:c r="C13" s="2" t="str">
        <x:v>76123456-0</x:v>
      </x:c>
      <x:c r="D13" s="2" t="str">
        <x:v>portal_proveedor</x:v>
      </x:c>
      <x:c r="E13" s="2" t="str">
        <x:v>cumplido</x:v>
      </x:c>
      <x:c r="F13" s="2" t="str">
        <x:v>operador</x:v>
      </x:c>
      <x:c r="G13" s="15" t="d">
        <x:v>2026-07-31T00:00:00.000Z</x:v>
      </x:c>
      <x:c r="H13" s="2" t="str">
        <x:v>evidencias/FAC-1-0003-portal_proveedor.pdf</x:v>
      </x:c>
    </x:row>
    <x:row r="14">
      <x:c r="A14" s="2" t="str">
        <x:v>CHK-00013</x:v>
      </x:c>
      <x:c r="B14" s="2" t="str">
        <x:v>FAC-1-0004</x:v>
      </x:c>
      <x:c r="C14" s="2" t="str">
        <x:v>76123456-0</x:v>
      </x:c>
      <x:c r="D14" s="2" t="str">
        <x:v>aceptacion_sii</x:v>
      </x:c>
      <x:c r="E14" s="2" t="str">
        <x:v>cumplido</x:v>
      </x:c>
      <x:c r="F14" s="2" t="str">
        <x:v>operador</x:v>
      </x:c>
      <x:c r="G14" s="15" t="d">
        <x:v>2026-06-11T00:00:00.000Z</x:v>
      </x:c>
      <x:c r="H14" s="2" t="str">
        <x:v>evidencias/FAC-1-0004-aceptacion_sii.pdf</x:v>
      </x:c>
    </x:row>
    <x:row r="15">
      <x:c r="A15" s="2" t="str">
        <x:v>CHK-00014</x:v>
      </x:c>
      <x:c r="B15" s="2" t="str">
        <x:v>FAC-1-0004</x:v>
      </x:c>
      <x:c r="C15" s="2" t="str">
        <x:v>76123456-0</x:v>
      </x:c>
      <x:c r="D15" s="2" t="str">
        <x:v>orden_compra</x:v>
      </x:c>
      <x:c r="E15" s="2" t="str">
        <x:v>pendiente</x:v>
      </x:c>
      <x:c r="F15" s="2" t="str">
        <x:v>pagador</x:v>
      </x:c>
      <x:c r="G15" s="15" t="d">
        <x:v>2026-06-11T00:00:00.000Z</x:v>
      </x:c>
      <x:c r="H15" s="2" t="str"/>
    </x:row>
    <x:row r="16">
      <x:c r="A16" s="2" t="str">
        <x:v>CHK-00015</x:v>
      </x:c>
      <x:c r="B16" s="2" t="str">
        <x:v>FAC-1-0004</x:v>
      </x:c>
      <x:c r="C16" s="2" t="str">
        <x:v>76123456-0</x:v>
      </x:c>
      <x:c r="D16" s="2" t="str">
        <x:v>hes_conformidad</x:v>
      </x:c>
      <x:c r="E16" s="2" t="str">
        <x:v>cumplido</x:v>
      </x:c>
      <x:c r="F16" s="2" t="str">
        <x:v>pagador</x:v>
      </x:c>
      <x:c r="G16" s="15" t="d">
        <x:v>2026-06-11T00:00:00.000Z</x:v>
      </x:c>
      <x:c r="H16" s="2" t="str">
        <x:v>evidencias/FAC-1-0004-hes_conformidad.pdf</x:v>
      </x:c>
    </x:row>
    <x:row r="17">
      <x:c r="A17" s="2" t="str">
        <x:v>CHK-00016</x:v>
      </x:c>
      <x:c r="B17" s="2" t="str">
        <x:v>FAC-1-0004</x:v>
      </x:c>
      <x:c r="C17" s="2" t="str">
        <x:v>76123456-0</x:v>
      </x:c>
      <x:c r="D17" s="2" t="str">
        <x:v>portal_proveedor</x:v>
      </x:c>
      <x:c r="E17" s="2" t="str">
        <x:v>no_aplica</x:v>
      </x:c>
      <x:c r="F17" s="2" t="str">
        <x:v>sistema</x:v>
      </x:c>
      <x:c r="G17" s="15" t="d">
        <x:v>2026-06-11T00:00:00.000Z</x:v>
      </x:c>
      <x:c r="H17" s="2" t="str"/>
    </x:row>
    <x:row r="18">
      <x:c r="A18" s="2" t="str">
        <x:v>CHK-00017</x:v>
      </x:c>
      <x:c r="B18" s="2" t="str">
        <x:v>FAC-1-0005</x:v>
      </x:c>
      <x:c r="C18" s="2" t="str">
        <x:v>76123456-0</x:v>
      </x:c>
      <x:c r="D18" s="2" t="str">
        <x:v>aceptacion_sii</x:v>
      </x:c>
      <x:c r="E18" s="2" t="str">
        <x:v>cumplido</x:v>
      </x:c>
      <x:c r="F18" s="2" t="str">
        <x:v>operador</x:v>
      </x:c>
      <x:c r="G18" s="15" t="d">
        <x:v>2026-06-14T00:00:00.000Z</x:v>
      </x:c>
      <x:c r="H18" s="2" t="str">
        <x:v>evidencias/FAC-1-0005-aceptacion_sii.pdf</x:v>
      </x:c>
    </x:row>
    <x:row r="19">
      <x:c r="A19" s="2" t="str">
        <x:v>CHK-00018</x:v>
      </x:c>
      <x:c r="B19" s="2" t="str">
        <x:v>FAC-1-0005</x:v>
      </x:c>
      <x:c r="C19" s="2" t="str">
        <x:v>76123456-0</x:v>
      </x:c>
      <x:c r="D19" s="2" t="str">
        <x:v>orden_compra</x:v>
      </x:c>
      <x:c r="E19" s="2" t="str">
        <x:v>cumplido</x:v>
      </x:c>
      <x:c r="F19" s="2" t="str">
        <x:v>pagador</x:v>
      </x:c>
      <x:c r="G19" s="15" t="d">
        <x:v>2026-06-14T00:00:00.000Z</x:v>
      </x:c>
      <x:c r="H19" s="2" t="str">
        <x:v>evidencias/FAC-1-0005-orden_compra.pdf</x:v>
      </x:c>
    </x:row>
    <x:row r="20">
      <x:c r="A20" s="2" t="str">
        <x:v>CHK-00019</x:v>
      </x:c>
      <x:c r="B20" s="2" t="str">
        <x:v>FAC-1-0005</x:v>
      </x:c>
      <x:c r="C20" s="2" t="str">
        <x:v>76123456-0</x:v>
      </x:c>
      <x:c r="D20" s="2" t="str">
        <x:v>hes_conformidad</x:v>
      </x:c>
      <x:c r="E20" s="2" t="str">
        <x:v>no_aplica</x:v>
      </x:c>
      <x:c r="F20" s="2" t="str">
        <x:v>sistema</x:v>
      </x:c>
      <x:c r="G20" s="15" t="d">
        <x:v>2026-06-14T00:00:00.000Z</x:v>
      </x:c>
      <x:c r="H20" s="2" t="str"/>
    </x:row>
    <x:row r="21">
      <x:c r="A21" s="2" t="str">
        <x:v>CHK-00020</x:v>
      </x:c>
      <x:c r="B21" s="2" t="str">
        <x:v>FAC-1-0005</x:v>
      </x:c>
      <x:c r="C21" s="2" t="str">
        <x:v>76123456-0</x:v>
      </x:c>
      <x:c r="D21" s="2" t="str">
        <x:v>portal_proveedor</x:v>
      </x:c>
      <x:c r="E21" s="2" t="str">
        <x:v>no_aplica</x:v>
      </x:c>
      <x:c r="F21" s="2" t="str">
        <x:v>sistema</x:v>
      </x:c>
      <x:c r="G21" s="15" t="d">
        <x:v>2026-06-14T00:00:00.000Z</x:v>
      </x:c>
      <x:c r="H21" s="2" t="str"/>
    </x:row>
    <x:row r="22">
      <x:c r="A22" s="2" t="str">
        <x:v>CHK-00021</x:v>
      </x:c>
      <x:c r="B22" s="2" t="str">
        <x:v>FAC-1-0006</x:v>
      </x:c>
      <x:c r="C22" s="2" t="str">
        <x:v>76123456-0</x:v>
      </x:c>
      <x:c r="D22" s="2" t="str">
        <x:v>aceptacion_sii</x:v>
      </x:c>
      <x:c r="E22" s="2" t="str">
        <x:v>reclamado</x:v>
      </x:c>
      <x:c r="F22" s="2" t="str">
        <x:v>operador</x:v>
      </x:c>
      <x:c r="G22" s="15" t="d">
        <x:v>2026-06-19T00:00:00.000Z</x:v>
      </x:c>
      <x:c r="H22" s="2" t="str"/>
    </x:row>
    <x:row r="23">
      <x:c r="A23" s="2" t="str">
        <x:v>CHK-00022</x:v>
      </x:c>
      <x:c r="B23" s="2" t="str">
        <x:v>FAC-1-0006</x:v>
      </x:c>
      <x:c r="C23" s="2" t="str">
        <x:v>76123456-0</x:v>
      </x:c>
      <x:c r="D23" s="2" t="str">
        <x:v>orden_compra</x:v>
      </x:c>
      <x:c r="E23" s="2" t="str">
        <x:v>cumplido</x:v>
      </x:c>
      <x:c r="F23" s="2" t="str">
        <x:v>pagador</x:v>
      </x:c>
      <x:c r="G23" s="15" t="d">
        <x:v>2026-06-19T00:00:00.000Z</x:v>
      </x:c>
      <x:c r="H23" s="2" t="str">
        <x:v>evidencias/FAC-1-0006-orden_compra.pdf</x:v>
      </x:c>
    </x:row>
    <x:row r="24">
      <x:c r="A24" s="2" t="str">
        <x:v>CHK-00023</x:v>
      </x:c>
      <x:c r="B24" s="2" t="str">
        <x:v>FAC-1-0006</x:v>
      </x:c>
      <x:c r="C24" s="2" t="str">
        <x:v>76123456-0</x:v>
      </x:c>
      <x:c r="D24" s="2" t="str">
        <x:v>hes_conformidad</x:v>
      </x:c>
      <x:c r="E24" s="2" t="str">
        <x:v>cumplido</x:v>
      </x:c>
      <x:c r="F24" s="2" t="str">
        <x:v>pagador</x:v>
      </x:c>
      <x:c r="G24" s="15" t="d">
        <x:v>2026-06-19T00:00:00.000Z</x:v>
      </x:c>
      <x:c r="H24" s="2" t="str">
        <x:v>evidencias/FAC-1-0006-hes_conformidad.pdf</x:v>
      </x:c>
    </x:row>
    <x:row r="25">
      <x:c r="A25" s="2" t="str">
        <x:v>CHK-00024</x:v>
      </x:c>
      <x:c r="B25" s="2" t="str">
        <x:v>FAC-1-0006</x:v>
      </x:c>
      <x:c r="C25" s="2" t="str">
        <x:v>76123456-0</x:v>
      </x:c>
      <x:c r="D25" s="2" t="str">
        <x:v>portal_proveedor</x:v>
      </x:c>
      <x:c r="E25" s="2" t="str">
        <x:v>cumplido</x:v>
      </x:c>
      <x:c r="F25" s="2" t="str">
        <x:v>operador</x:v>
      </x:c>
      <x:c r="G25" s="15" t="d">
        <x:v>2026-06-19T00:00:00.000Z</x:v>
      </x:c>
      <x:c r="H25" s="2" t="str">
        <x:v>evidencias/FAC-1-0006-portal_proveedor.pdf</x:v>
      </x:c>
    </x:row>
    <x:row r="26">
      <x:c r="A26" s="2" t="str">
        <x:v>CHK-00025</x:v>
      </x:c>
      <x:c r="B26" s="2" t="str">
        <x:v>FAC-1-0007</x:v>
      </x:c>
      <x:c r="C26" s="2" t="str">
        <x:v>76123456-0</x:v>
      </x:c>
      <x:c r="D26" s="2" t="str">
        <x:v>aceptacion_sii</x:v>
      </x:c>
      <x:c r="E26" s="2" t="str">
        <x:v>cumplido</x:v>
      </x:c>
      <x:c r="F26" s="2" t="str">
        <x:v>operador</x:v>
      </x:c>
      <x:c r="G26" s="15" t="d">
        <x:v>2026-06-22T00:00:00.000Z</x:v>
      </x:c>
      <x:c r="H26" s="2" t="str">
        <x:v>evidencias/FAC-1-0007-aceptacion_sii.pdf</x:v>
      </x:c>
    </x:row>
    <x:row r="27">
      <x:c r="A27" s="2" t="str">
        <x:v>CHK-00026</x:v>
      </x:c>
      <x:c r="B27" s="2" t="str">
        <x:v>FAC-1-0007</x:v>
      </x:c>
      <x:c r="C27" s="2" t="str">
        <x:v>76123456-0</x:v>
      </x:c>
      <x:c r="D27" s="2" t="str">
        <x:v>orden_compra</x:v>
      </x:c>
      <x:c r="E27" s="2" t="str">
        <x:v>cumplido</x:v>
      </x:c>
      <x:c r="F27" s="2" t="str">
        <x:v>pagador</x:v>
      </x:c>
      <x:c r="G27" s="15" t="d">
        <x:v>2026-06-22T00:00:00.000Z</x:v>
      </x:c>
      <x:c r="H27" s="2" t="str">
        <x:v>evidencias/FAC-1-0007-orden_compra.pdf</x:v>
      </x:c>
    </x:row>
    <x:row r="28">
      <x:c r="A28" s="2" t="str">
        <x:v>CHK-00027</x:v>
      </x:c>
      <x:c r="B28" s="2" t="str">
        <x:v>FAC-1-0007</x:v>
      </x:c>
      <x:c r="C28" s="2" t="str">
        <x:v>76123456-0</x:v>
      </x:c>
      <x:c r="D28" s="2" t="str">
        <x:v>hes_conformidad</x:v>
      </x:c>
      <x:c r="E28" s="2" t="str">
        <x:v>no_aplica</x:v>
      </x:c>
      <x:c r="F28" s="2" t="str">
        <x:v>sistema</x:v>
      </x:c>
      <x:c r="G28" s="15" t="d">
        <x:v>2026-06-22T00:00:00.000Z</x:v>
      </x:c>
      <x:c r="H28" s="2" t="str"/>
    </x:row>
    <x:row r="29">
      <x:c r="A29" s="2" t="str">
        <x:v>CHK-00028</x:v>
      </x:c>
      <x:c r="B29" s="2" t="str">
        <x:v>FAC-1-0007</x:v>
      </x:c>
      <x:c r="C29" s="2" t="str">
        <x:v>76123456-0</x:v>
      </x:c>
      <x:c r="D29" s="2" t="str">
        <x:v>portal_proveedor</x:v>
      </x:c>
      <x:c r="E29" s="2" t="str">
        <x:v>cumplido</x:v>
      </x:c>
      <x:c r="F29" s="2" t="str">
        <x:v>operador</x:v>
      </x:c>
      <x:c r="G29" s="15" t="d">
        <x:v>2026-06-22T00:00:00.000Z</x:v>
      </x:c>
      <x:c r="H29" s="2" t="str">
        <x:v>evidencias/FAC-1-0007-portal_proveedor.pdf</x:v>
      </x:c>
    </x:row>
    <x:row r="30">
      <x:c r="A30" s="2" t="str">
        <x:v>CHK-00029</x:v>
      </x:c>
      <x:c r="B30" s="2" t="str">
        <x:v>FAC-1-0008</x:v>
      </x:c>
      <x:c r="C30" s="2" t="str">
        <x:v>76123456-0</x:v>
      </x:c>
      <x:c r="D30" s="2" t="str">
        <x:v>aceptacion_sii</x:v>
      </x:c>
      <x:c r="E30" s="2" t="str">
        <x:v>cumplido</x:v>
      </x:c>
      <x:c r="F30" s="2" t="str">
        <x:v>operador</x:v>
      </x:c>
      <x:c r="G30" s="15" t="d">
        <x:v>2026-08-27T00:00:00.000Z</x:v>
      </x:c>
      <x:c r="H30" s="2" t="str">
        <x:v>evidencias/FAC-1-0008-aceptacion_sii.pdf</x:v>
      </x:c>
    </x:row>
    <x:row r="31">
      <x:c r="A31" s="2" t="str">
        <x:v>CHK-00030</x:v>
      </x:c>
      <x:c r="B31" s="2" t="str">
        <x:v>FAC-1-0008</x:v>
      </x:c>
      <x:c r="C31" s="2" t="str">
        <x:v>76123456-0</x:v>
      </x:c>
      <x:c r="D31" s="2" t="str">
        <x:v>orden_compra</x:v>
      </x:c>
      <x:c r="E31" s="2" t="str">
        <x:v>cumplido</x:v>
      </x:c>
      <x:c r="F31" s="2" t="str">
        <x:v>pagador</x:v>
      </x:c>
      <x:c r="G31" s="15" t="d">
        <x:v>2026-08-27T00:00:00.000Z</x:v>
      </x:c>
      <x:c r="H31" s="2" t="str">
        <x:v>evidencias/FAC-1-0008-orden_compra.pdf</x:v>
      </x:c>
    </x:row>
    <x:row r="32">
      <x:c r="A32" s="2" t="str">
        <x:v>CHK-00031</x:v>
      </x:c>
      <x:c r="B32" s="2" t="str">
        <x:v>FAC-1-0008</x:v>
      </x:c>
      <x:c r="C32" s="2" t="str">
        <x:v>76123456-0</x:v>
      </x:c>
      <x:c r="D32" s="2" t="str">
        <x:v>hes_conformidad</x:v>
      </x:c>
      <x:c r="E32" s="2" t="str">
        <x:v>cumplido</x:v>
      </x:c>
      <x:c r="F32" s="2" t="str">
        <x:v>pagador</x:v>
      </x:c>
      <x:c r="G32" s="15" t="d">
        <x:v>2026-08-27T00:00:00.000Z</x:v>
      </x:c>
      <x:c r="H32" s="2" t="str">
        <x:v>evidencias/FAC-1-0008-hes_conformidad.pdf</x:v>
      </x:c>
    </x:row>
    <x:row r="33">
      <x:c r="A33" s="2" t="str">
        <x:v>CHK-00032</x:v>
      </x:c>
      <x:c r="B33" s="2" t="str">
        <x:v>FAC-1-0008</x:v>
      </x:c>
      <x:c r="C33" s="2" t="str">
        <x:v>76123456-0</x:v>
      </x:c>
      <x:c r="D33" s="2" t="str">
        <x:v>portal_proveedor</x:v>
      </x:c>
      <x:c r="E33" s="2" t="str">
        <x:v>cumplido</x:v>
      </x:c>
      <x:c r="F33" s="2" t="str">
        <x:v>operador</x:v>
      </x:c>
      <x:c r="G33" s="15" t="d">
        <x:v>2026-08-27T00:00:00.000Z</x:v>
      </x:c>
      <x:c r="H33" s="2" t="str">
        <x:v>evidencias/FAC-1-0008-portal_proveedor.pdf</x:v>
      </x:c>
    </x:row>
    <x:row r="34">
      <x:c r="A34" s="2" t="str">
        <x:v>CHK-00033</x:v>
      </x:c>
      <x:c r="B34" s="2" t="str">
        <x:v>FAC-1-0009</x:v>
      </x:c>
      <x:c r="C34" s="2" t="str">
        <x:v>76123456-0</x:v>
      </x:c>
      <x:c r="D34" s="2" t="str">
        <x:v>aceptacion_sii</x:v>
      </x:c>
      <x:c r="E34" s="2" t="str">
        <x:v>cumplido</x:v>
      </x:c>
      <x:c r="F34" s="2" t="str">
        <x:v>operador</x:v>
      </x:c>
      <x:c r="G34" s="15" t="d">
        <x:v>2026-07-25T00:00:00.000Z</x:v>
      </x:c>
      <x:c r="H34" s="2" t="str">
        <x:v>evidencias/FAC-1-0009-aceptacion_sii.pdf</x:v>
      </x:c>
    </x:row>
    <x:row r="35">
      <x:c r="A35" s="2" t="str">
        <x:v>CHK-00034</x:v>
      </x:c>
      <x:c r="B35" s="2" t="str">
        <x:v>FAC-1-0009</x:v>
      </x:c>
      <x:c r="C35" s="2" t="str">
        <x:v>76123456-0</x:v>
      </x:c>
      <x:c r="D35" s="2" t="str">
        <x:v>orden_compra</x:v>
      </x:c>
      <x:c r="E35" s="2" t="str">
        <x:v>cumplido</x:v>
      </x:c>
      <x:c r="F35" s="2" t="str">
        <x:v>pagador</x:v>
      </x:c>
      <x:c r="G35" s="15" t="d">
        <x:v>2026-07-25T00:00:00.000Z</x:v>
      </x:c>
      <x:c r="H35" s="2" t="str">
        <x:v>evidencias/FAC-1-0009-orden_compra.pdf</x:v>
      </x:c>
    </x:row>
    <x:row r="36">
      <x:c r="A36" s="2" t="str">
        <x:v>CHK-00035</x:v>
      </x:c>
      <x:c r="B36" s="2" t="str">
        <x:v>FAC-1-0009</x:v>
      </x:c>
      <x:c r="C36" s="2" t="str">
        <x:v>76123456-0</x:v>
      </x:c>
      <x:c r="D36" s="2" t="str">
        <x:v>hes_conformidad</x:v>
      </x:c>
      <x:c r="E36" s="2" t="str">
        <x:v>cumplido</x:v>
      </x:c>
      <x:c r="F36" s="2" t="str">
        <x:v>pagador</x:v>
      </x:c>
      <x:c r="G36" s="15" t="d">
        <x:v>2026-07-25T00:00:00.000Z</x:v>
      </x:c>
      <x:c r="H36" s="2" t="str">
        <x:v>evidencias/FAC-1-0009-hes_conformidad.pdf</x:v>
      </x:c>
    </x:row>
    <x:row r="37">
      <x:c r="A37" s="2" t="str">
        <x:v>CHK-00036</x:v>
      </x:c>
      <x:c r="B37" s="2" t="str">
        <x:v>FAC-1-0009</x:v>
      </x:c>
      <x:c r="C37" s="2" t="str">
        <x:v>76123456-0</x:v>
      </x:c>
      <x:c r="D37" s="2" t="str">
        <x:v>portal_proveedor</x:v>
      </x:c>
      <x:c r="E37" s="2" t="str">
        <x:v>no_aplica</x:v>
      </x:c>
      <x:c r="F37" s="2" t="str">
        <x:v>sistema</x:v>
      </x:c>
      <x:c r="G37" s="15" t="d">
        <x:v>2026-07-25T00:00:00.000Z</x:v>
      </x:c>
      <x:c r="H37" s="2" t="str"/>
    </x:row>
    <x:row r="38">
      <x:c r="A38" s="2" t="str">
        <x:v>CHK-00037</x:v>
      </x:c>
      <x:c r="B38" s="2" t="str">
        <x:v>FAC-1-0010</x:v>
      </x:c>
      <x:c r="C38" s="2" t="str">
        <x:v>76123456-0</x:v>
      </x:c>
      <x:c r="D38" s="2" t="str">
        <x:v>aceptacion_sii</x:v>
      </x:c>
      <x:c r="E38" s="2" t="str">
        <x:v>cumplido</x:v>
      </x:c>
      <x:c r="F38" s="2" t="str">
        <x:v>operador</x:v>
      </x:c>
      <x:c r="G38" s="15" t="d">
        <x:v>2026-06-29T00:00:00.000Z</x:v>
      </x:c>
      <x:c r="H38" s="2" t="str">
        <x:v>evidencias/FAC-1-0010-aceptacion_sii.pdf</x:v>
      </x:c>
    </x:row>
    <x:row r="39">
      <x:c r="A39" s="2" t="str">
        <x:v>CHK-00038</x:v>
      </x:c>
      <x:c r="B39" s="2" t="str">
        <x:v>FAC-1-0010</x:v>
      </x:c>
      <x:c r="C39" s="2" t="str">
        <x:v>76123456-0</x:v>
      </x:c>
      <x:c r="D39" s="2" t="str">
        <x:v>orden_compra</x:v>
      </x:c>
      <x:c r="E39" s="2" t="str">
        <x:v>cumplido</x:v>
      </x:c>
      <x:c r="F39" s="2" t="str">
        <x:v>pagador</x:v>
      </x:c>
      <x:c r="G39" s="15" t="d">
        <x:v>2026-06-29T00:00:00.000Z</x:v>
      </x:c>
      <x:c r="H39" s="2" t="str">
        <x:v>evidencias/FAC-1-0010-orden_compra.pdf</x:v>
      </x:c>
    </x:row>
    <x:row r="40">
      <x:c r="A40" s="2" t="str">
        <x:v>CHK-00039</x:v>
      </x:c>
      <x:c r="B40" s="2" t="str">
        <x:v>FAC-1-0010</x:v>
      </x:c>
      <x:c r="C40" s="2" t="str">
        <x:v>76123456-0</x:v>
      </x:c>
      <x:c r="D40" s="2" t="str">
        <x:v>hes_conformidad</x:v>
      </x:c>
      <x:c r="E40" s="2" t="str">
        <x:v>no_aplica</x:v>
      </x:c>
      <x:c r="F40" s="2" t="str">
        <x:v>sistema</x:v>
      </x:c>
      <x:c r="G40" s="15" t="d">
        <x:v>2026-06-29T00:00:00.000Z</x:v>
      </x:c>
      <x:c r="H40" s="2" t="str"/>
    </x:row>
    <x:row r="41">
      <x:c r="A41" s="2" t="str">
        <x:v>CHK-00040</x:v>
      </x:c>
      <x:c r="B41" s="2" t="str">
        <x:v>FAC-1-0010</x:v>
      </x:c>
      <x:c r="C41" s="2" t="str">
        <x:v>76123456-0</x:v>
      </x:c>
      <x:c r="D41" s="2" t="str">
        <x:v>portal_proveedor</x:v>
      </x:c>
      <x:c r="E41" s="2" t="str">
        <x:v>no_aplica</x:v>
      </x:c>
      <x:c r="F41" s="2" t="str">
        <x:v>sistema</x:v>
      </x:c>
      <x:c r="G41" s="15" t="d">
        <x:v>2026-06-29T00:00:00.000Z</x:v>
      </x:c>
      <x:c r="H41" s="2" t="str"/>
    </x:row>
    <x:row r="42">
      <x:c r="A42" s="2" t="str">
        <x:v>CHK-00041</x:v>
      </x:c>
      <x:c r="B42" s="2" t="str">
        <x:v>FAC-1-0011</x:v>
      </x:c>
      <x:c r="C42" s="2" t="str">
        <x:v>76123456-0</x:v>
      </x:c>
      <x:c r="D42" s="2" t="str">
        <x:v>aceptacion_sii</x:v>
      </x:c>
      <x:c r="E42" s="2" t="str">
        <x:v>cumplido</x:v>
      </x:c>
      <x:c r="F42" s="2" t="str">
        <x:v>operador</x:v>
      </x:c>
      <x:c r="G42" s="15" t="d">
        <x:v>2026-08-12T00:00:00.000Z</x:v>
      </x:c>
      <x:c r="H42" s="2" t="str">
        <x:v>evidencias/FAC-1-0011-aceptacion_sii.pdf</x:v>
      </x:c>
    </x:row>
    <x:row r="43">
      <x:c r="A43" s="2" t="str">
        <x:v>CHK-00042</x:v>
      </x:c>
      <x:c r="B43" s="2" t="str">
        <x:v>FAC-1-0011</x:v>
      </x:c>
      <x:c r="C43" s="2" t="str">
        <x:v>76123456-0</x:v>
      </x:c>
      <x:c r="D43" s="2" t="str">
        <x:v>orden_compra</x:v>
      </x:c>
      <x:c r="E43" s="2" t="str">
        <x:v>cumplido</x:v>
      </x:c>
      <x:c r="F43" s="2" t="str">
        <x:v>pagador</x:v>
      </x:c>
      <x:c r="G43" s="15" t="d">
        <x:v>2026-08-12T00:00:00.000Z</x:v>
      </x:c>
      <x:c r="H43" s="2" t="str">
        <x:v>evidencias/FAC-1-0011-orden_compra.pdf</x:v>
      </x:c>
    </x:row>
    <x:row r="44">
      <x:c r="A44" s="2" t="str">
        <x:v>CHK-00043</x:v>
      </x:c>
      <x:c r="B44" s="2" t="str">
        <x:v>FAC-1-0011</x:v>
      </x:c>
      <x:c r="C44" s="2" t="str">
        <x:v>76123456-0</x:v>
      </x:c>
      <x:c r="D44" s="2" t="str">
        <x:v>hes_conformidad</x:v>
      </x:c>
      <x:c r="E44" s="2" t="str">
        <x:v>cumplido</x:v>
      </x:c>
      <x:c r="F44" s="2" t="str">
        <x:v>pagador</x:v>
      </x:c>
      <x:c r="G44" s="15" t="d">
        <x:v>2026-08-12T00:00:00.000Z</x:v>
      </x:c>
      <x:c r="H44" s="2" t="str">
        <x:v>evidencias/FAC-1-0011-hes_conformidad.pdf</x:v>
      </x:c>
    </x:row>
    <x:row r="45">
      <x:c r="A45" s="2" t="str">
        <x:v>CHK-00044</x:v>
      </x:c>
      <x:c r="B45" s="2" t="str">
        <x:v>FAC-1-0011</x:v>
      </x:c>
      <x:c r="C45" s="2" t="str">
        <x:v>76123456-0</x:v>
      </x:c>
      <x:c r="D45" s="2" t="str">
        <x:v>portal_proveedor</x:v>
      </x:c>
      <x:c r="E45" s="2" t="str">
        <x:v>cumplido</x:v>
      </x:c>
      <x:c r="F45" s="2" t="str">
        <x:v>operador</x:v>
      </x:c>
      <x:c r="G45" s="15" t="d">
        <x:v>2026-08-12T00:00:00.000Z</x:v>
      </x:c>
      <x:c r="H45" s="2" t="str">
        <x:v>evidencias/FAC-1-0011-portal_proveedor.pdf</x:v>
      </x:c>
    </x:row>
    <x:row r="46">
      <x:c r="A46" s="2" t="str">
        <x:v>CHK-00045</x:v>
      </x:c>
      <x:c r="B46" s="2" t="str">
        <x:v>FAC-1-0012</x:v>
      </x:c>
      <x:c r="C46" s="2" t="str">
        <x:v>76123456-0</x:v>
      </x:c>
      <x:c r="D46" s="2" t="str">
        <x:v>aceptacion_sii</x:v>
      </x:c>
      <x:c r="E46" s="2" t="str">
        <x:v>cumplido</x:v>
      </x:c>
      <x:c r="F46" s="2" t="str">
        <x:v>operador</x:v>
      </x:c>
      <x:c r="G46" s="15" t="d">
        <x:v>2026-08-16T00:00:00.000Z</x:v>
      </x:c>
      <x:c r="H46" s="2" t="str">
        <x:v>evidencias/FAC-1-0012-aceptacion_sii.pdf</x:v>
      </x:c>
    </x:row>
    <x:row r="47">
      <x:c r="A47" s="2" t="str">
        <x:v>CHK-00046</x:v>
      </x:c>
      <x:c r="B47" s="2" t="str">
        <x:v>FAC-1-0012</x:v>
      </x:c>
      <x:c r="C47" s="2" t="str">
        <x:v>76123456-0</x:v>
      </x:c>
      <x:c r="D47" s="2" t="str">
        <x:v>orden_compra</x:v>
      </x:c>
      <x:c r="E47" s="2" t="str">
        <x:v>cumplido</x:v>
      </x:c>
      <x:c r="F47" s="2" t="str">
        <x:v>pagador</x:v>
      </x:c>
      <x:c r="G47" s="15" t="d">
        <x:v>2026-08-16T00:00:00.000Z</x:v>
      </x:c>
      <x:c r="H47" s="2" t="str">
        <x:v>evidencias/FAC-1-0012-orden_compra.pdf</x:v>
      </x:c>
    </x:row>
    <x:row r="48">
      <x:c r="A48" s="2" t="str">
        <x:v>CHK-00047</x:v>
      </x:c>
      <x:c r="B48" s="2" t="str">
        <x:v>FAC-1-0012</x:v>
      </x:c>
      <x:c r="C48" s="2" t="str">
        <x:v>76123456-0</x:v>
      </x:c>
      <x:c r="D48" s="2" t="str">
        <x:v>hes_conformidad</x:v>
      </x:c>
      <x:c r="E48" s="2" t="str">
        <x:v>no_aplica</x:v>
      </x:c>
      <x:c r="F48" s="2" t="str">
        <x:v>sistema</x:v>
      </x:c>
      <x:c r="G48" s="15" t="d">
        <x:v>2026-08-16T00:00:00.000Z</x:v>
      </x:c>
      <x:c r="H48" s="2" t="str"/>
    </x:row>
    <x:row r="49">
      <x:c r="A49" s="2" t="str">
        <x:v>CHK-00048</x:v>
      </x:c>
      <x:c r="B49" s="2" t="str">
        <x:v>FAC-1-0012</x:v>
      </x:c>
      <x:c r="C49" s="2" t="str">
        <x:v>76123456-0</x:v>
      </x:c>
      <x:c r="D49" s="2" t="str">
        <x:v>portal_proveedor</x:v>
      </x:c>
      <x:c r="E49" s="2" t="str">
        <x:v>cumplido</x:v>
      </x:c>
      <x:c r="F49" s="2" t="str">
        <x:v>operador</x:v>
      </x:c>
      <x:c r="G49" s="15" t="d">
        <x:v>2026-08-16T00:00:00.000Z</x:v>
      </x:c>
      <x:c r="H49" s="2" t="str">
        <x:v>evidencias/FAC-1-0012-portal_proveedor.pdf</x:v>
      </x:c>
    </x:row>
    <x:row r="50">
      <x:c r="A50" s="2" t="str">
        <x:v>CHK-00049</x:v>
      </x:c>
      <x:c r="B50" s="2" t="str">
        <x:v>FAC-1-0013</x:v>
      </x:c>
      <x:c r="C50" s="2" t="str">
        <x:v>76123456-0</x:v>
      </x:c>
      <x:c r="D50" s="2" t="str">
        <x:v>aceptacion_sii</x:v>
      </x:c>
      <x:c r="E50" s="2" t="str">
        <x:v>cumplido</x:v>
      </x:c>
      <x:c r="F50" s="2" t="str">
        <x:v>operador</x:v>
      </x:c>
      <x:c r="G50" s="15" t="d">
        <x:v>2026-08-30T00:00:00.000Z</x:v>
      </x:c>
      <x:c r="H50" s="2" t="str">
        <x:v>evidencias/FAC-1-0013-aceptacion_sii.pdf</x:v>
      </x:c>
    </x:row>
    <x:row r="51">
      <x:c r="A51" s="2" t="str">
        <x:v>CHK-00050</x:v>
      </x:c>
      <x:c r="B51" s="2" t="str">
        <x:v>FAC-1-0013</x:v>
      </x:c>
      <x:c r="C51" s="2" t="str">
        <x:v>76123456-0</x:v>
      </x:c>
      <x:c r="D51" s="2" t="str">
        <x:v>orden_compra</x:v>
      </x:c>
      <x:c r="E51" s="2" t="str">
        <x:v>cumplido</x:v>
      </x:c>
      <x:c r="F51" s="2" t="str">
        <x:v>pagador</x:v>
      </x:c>
      <x:c r="G51" s="15" t="d">
        <x:v>2026-08-30T00:00:00.000Z</x:v>
      </x:c>
      <x:c r="H51" s="2" t="str">
        <x:v>evidencias/FAC-1-0013-orden_compra.pdf</x:v>
      </x:c>
    </x:row>
    <x:row r="52">
      <x:c r="A52" s="2" t="str">
        <x:v>CHK-00051</x:v>
      </x:c>
      <x:c r="B52" s="2" t="str">
        <x:v>FAC-1-0013</x:v>
      </x:c>
      <x:c r="C52" s="2" t="str">
        <x:v>76123456-0</x:v>
      </x:c>
      <x:c r="D52" s="2" t="str">
        <x:v>hes_conformidad</x:v>
      </x:c>
      <x:c r="E52" s="2" t="str">
        <x:v>cumplido</x:v>
      </x:c>
      <x:c r="F52" s="2" t="str">
        <x:v>pagador</x:v>
      </x:c>
      <x:c r="G52" s="15" t="d">
        <x:v>2026-08-30T00:00:00.000Z</x:v>
      </x:c>
      <x:c r="H52" s="2" t="str">
        <x:v>evidencias/FAC-1-0013-hes_conformidad.pdf</x:v>
      </x:c>
    </x:row>
    <x:row r="53">
      <x:c r="A53" s="2" t="str">
        <x:v>CHK-00052</x:v>
      </x:c>
      <x:c r="B53" s="2" t="str">
        <x:v>FAC-1-0013</x:v>
      </x:c>
      <x:c r="C53" s="2" t="str">
        <x:v>76123456-0</x:v>
      </x:c>
      <x:c r="D53" s="2" t="str">
        <x:v>portal_proveedor</x:v>
      </x:c>
      <x:c r="E53" s="2" t="str">
        <x:v>cumplido</x:v>
      </x:c>
      <x:c r="F53" s="2" t="str">
        <x:v>operador</x:v>
      </x:c>
      <x:c r="G53" s="15" t="d">
        <x:v>2026-08-30T00:00:00.000Z</x:v>
      </x:c>
      <x:c r="H53" s="2" t="str">
        <x:v>evidencias/FAC-1-0013-portal_proveedor.pdf</x:v>
      </x:c>
    </x:row>
    <x:row r="54">
      <x:c r="A54" s="2" t="str">
        <x:v>CHK-00053</x:v>
      </x:c>
      <x:c r="B54" s="2" t="str">
        <x:v>FAC-1-0014</x:v>
      </x:c>
      <x:c r="C54" s="2" t="str">
        <x:v>76123456-0</x:v>
      </x:c>
      <x:c r="D54" s="2" t="str">
        <x:v>aceptacion_sii</x:v>
      </x:c>
      <x:c r="E54" s="2" t="str">
        <x:v>cumplido</x:v>
      </x:c>
      <x:c r="F54" s="2" t="str">
        <x:v>operador</x:v>
      </x:c>
      <x:c r="G54" s="15" t="d">
        <x:v>2026-07-11T00:00:00.000Z</x:v>
      </x:c>
      <x:c r="H54" s="2" t="str">
        <x:v>evidencias/FAC-1-0014-aceptacion_sii.pdf</x:v>
      </x:c>
    </x:row>
    <x:row r="55">
      <x:c r="A55" s="2" t="str">
        <x:v>CHK-00054</x:v>
      </x:c>
      <x:c r="B55" s="2" t="str">
        <x:v>FAC-1-0014</x:v>
      </x:c>
      <x:c r="C55" s="2" t="str">
        <x:v>76123456-0</x:v>
      </x:c>
      <x:c r="D55" s="2" t="str">
        <x:v>orden_compra</x:v>
      </x:c>
      <x:c r="E55" s="2" t="str">
        <x:v>pendiente</x:v>
      </x:c>
      <x:c r="F55" s="2" t="str">
        <x:v>pagador</x:v>
      </x:c>
      <x:c r="G55" s="15" t="d">
        <x:v>2026-07-11T00:00:00.000Z</x:v>
      </x:c>
      <x:c r="H55" s="2" t="str"/>
    </x:row>
    <x:row r="56">
      <x:c r="A56" s="2" t="str">
        <x:v>CHK-00055</x:v>
      </x:c>
      <x:c r="B56" s="2" t="str">
        <x:v>FAC-1-0014</x:v>
      </x:c>
      <x:c r="C56" s="2" t="str">
        <x:v>76123456-0</x:v>
      </x:c>
      <x:c r="D56" s="2" t="str">
        <x:v>hes_conformidad</x:v>
      </x:c>
      <x:c r="E56" s="2" t="str">
        <x:v>cumplido</x:v>
      </x:c>
      <x:c r="F56" s="2" t="str">
        <x:v>pagador</x:v>
      </x:c>
      <x:c r="G56" s="15" t="d">
        <x:v>2026-07-11T00:00:00.000Z</x:v>
      </x:c>
      <x:c r="H56" s="2" t="str">
        <x:v>evidencias/FAC-1-0014-hes_conformidad.pdf</x:v>
      </x:c>
    </x:row>
    <x:row r="57">
      <x:c r="A57" s="2" t="str">
        <x:v>CHK-00056</x:v>
      </x:c>
      <x:c r="B57" s="2" t="str">
        <x:v>FAC-1-0014</x:v>
      </x:c>
      <x:c r="C57" s="2" t="str">
        <x:v>76123456-0</x:v>
      </x:c>
      <x:c r="D57" s="2" t="str">
        <x:v>portal_proveedor</x:v>
      </x:c>
      <x:c r="E57" s="2" t="str">
        <x:v>no_aplica</x:v>
      </x:c>
      <x:c r="F57" s="2" t="str">
        <x:v>sistema</x:v>
      </x:c>
      <x:c r="G57" s="15" t="d">
        <x:v>2026-07-11T00:00:00.000Z</x:v>
      </x:c>
      <x:c r="H57" s="2" t="str"/>
    </x:row>
    <x:row r="58">
      <x:c r="A58" s="2" t="str">
        <x:v>CHK-00057</x:v>
      </x:c>
      <x:c r="B58" s="2" t="str">
        <x:v>FAC-1-0015</x:v>
      </x:c>
      <x:c r="C58" s="2" t="str">
        <x:v>76123456-0</x:v>
      </x:c>
      <x:c r="D58" s="2" t="str">
        <x:v>aceptacion_sii</x:v>
      </x:c>
      <x:c r="E58" s="2" t="str">
        <x:v>cumplido</x:v>
      </x:c>
      <x:c r="F58" s="2" t="str">
        <x:v>operador</x:v>
      </x:c>
      <x:c r="G58" s="15" t="d">
        <x:v>2026-07-14T00:00:00.000Z</x:v>
      </x:c>
      <x:c r="H58" s="2" t="str">
        <x:v>evidencias/FAC-1-0015-aceptacion_sii.pdf</x:v>
      </x:c>
    </x:row>
    <x:row r="59">
      <x:c r="A59" s="2" t="str">
        <x:v>CHK-00058</x:v>
      </x:c>
      <x:c r="B59" s="2" t="str">
        <x:v>FAC-1-0015</x:v>
      </x:c>
      <x:c r="C59" s="2" t="str">
        <x:v>76123456-0</x:v>
      </x:c>
      <x:c r="D59" s="2" t="str">
        <x:v>orden_compra</x:v>
      </x:c>
      <x:c r="E59" s="2" t="str">
        <x:v>cumplido</x:v>
      </x:c>
      <x:c r="F59" s="2" t="str">
        <x:v>pagador</x:v>
      </x:c>
      <x:c r="G59" s="15" t="d">
        <x:v>2026-07-14T00:00:00.000Z</x:v>
      </x:c>
      <x:c r="H59" s="2" t="str">
        <x:v>evidencias/FAC-1-0015-orden_compra.pdf</x:v>
      </x:c>
    </x:row>
    <x:row r="60">
      <x:c r="A60" s="2" t="str">
        <x:v>CHK-00059</x:v>
      </x:c>
      <x:c r="B60" s="2" t="str">
        <x:v>FAC-1-0015</x:v>
      </x:c>
      <x:c r="C60" s="2" t="str">
        <x:v>76123456-0</x:v>
      </x:c>
      <x:c r="D60" s="2" t="str">
        <x:v>hes_conformidad</x:v>
      </x:c>
      <x:c r="E60" s="2" t="str">
        <x:v>no_aplica</x:v>
      </x:c>
      <x:c r="F60" s="2" t="str">
        <x:v>sistema</x:v>
      </x:c>
      <x:c r="G60" s="15" t="d">
        <x:v>2026-07-14T00:00:00.000Z</x:v>
      </x:c>
      <x:c r="H60" s="2" t="str"/>
    </x:row>
    <x:row r="61">
      <x:c r="A61" s="2" t="str">
        <x:v>CHK-00060</x:v>
      </x:c>
      <x:c r="B61" s="2" t="str">
        <x:v>FAC-1-0015</x:v>
      </x:c>
      <x:c r="C61" s="2" t="str">
        <x:v>76123456-0</x:v>
      </x:c>
      <x:c r="D61" s="2" t="str">
        <x:v>portal_proveedor</x:v>
      </x:c>
      <x:c r="E61" s="2" t="str">
        <x:v>no_aplica</x:v>
      </x:c>
      <x:c r="F61" s="2" t="str">
        <x:v>sistema</x:v>
      </x:c>
      <x:c r="G61" s="15" t="d">
        <x:v>2026-07-14T00:00:00.000Z</x:v>
      </x:c>
      <x:c r="H61" s="2" t="str"/>
    </x:row>
    <x:row r="62">
      <x:c r="A62" s="2" t="str">
        <x:v>CHK-00061</x:v>
      </x:c>
      <x:c r="B62" s="2" t="str">
        <x:v>FAC-1-0016</x:v>
      </x:c>
      <x:c r="C62" s="2" t="str">
        <x:v>76123456-0</x:v>
      </x:c>
      <x:c r="D62" s="2" t="str">
        <x:v>aceptacion_sii</x:v>
      </x:c>
      <x:c r="E62" s="2" t="str">
        <x:v>reclamado</x:v>
      </x:c>
      <x:c r="F62" s="2" t="str">
        <x:v>operador</x:v>
      </x:c>
      <x:c r="G62" s="15" t="d">
        <x:v>2026-07-19T00:00:00.000Z</x:v>
      </x:c>
      <x:c r="H62" s="2" t="str"/>
    </x:row>
    <x:row r="63">
      <x:c r="A63" s="2" t="str">
        <x:v>CHK-00062</x:v>
      </x:c>
      <x:c r="B63" s="2" t="str">
        <x:v>FAC-1-0016</x:v>
      </x:c>
      <x:c r="C63" s="2" t="str">
        <x:v>76123456-0</x:v>
      </x:c>
      <x:c r="D63" s="2" t="str">
        <x:v>orden_compra</x:v>
      </x:c>
      <x:c r="E63" s="2" t="str">
        <x:v>cumplido</x:v>
      </x:c>
      <x:c r="F63" s="2" t="str">
        <x:v>pagador</x:v>
      </x:c>
      <x:c r="G63" s="15" t="d">
        <x:v>2026-07-19T00:00:00.000Z</x:v>
      </x:c>
      <x:c r="H63" s="2" t="str">
        <x:v>evidencias/FAC-1-0016-orden_compra.pdf</x:v>
      </x:c>
    </x:row>
    <x:row r="64">
      <x:c r="A64" s="2" t="str">
        <x:v>CHK-00063</x:v>
      </x:c>
      <x:c r="B64" s="2" t="str">
        <x:v>FAC-1-0016</x:v>
      </x:c>
      <x:c r="C64" s="2" t="str">
        <x:v>76123456-0</x:v>
      </x:c>
      <x:c r="D64" s="2" t="str">
        <x:v>hes_conformidad</x:v>
      </x:c>
      <x:c r="E64" s="2" t="str">
        <x:v>cumplido</x:v>
      </x:c>
      <x:c r="F64" s="2" t="str">
        <x:v>pagador</x:v>
      </x:c>
      <x:c r="G64" s="15" t="d">
        <x:v>2026-07-19T00:00:00.000Z</x:v>
      </x:c>
      <x:c r="H64" s="2" t="str">
        <x:v>evidencias/FAC-1-0016-hes_conformidad.pdf</x:v>
      </x:c>
    </x:row>
    <x:row r="65">
      <x:c r="A65" s="2" t="str">
        <x:v>CHK-00064</x:v>
      </x:c>
      <x:c r="B65" s="2" t="str">
        <x:v>FAC-1-0016</x:v>
      </x:c>
      <x:c r="C65" s="2" t="str">
        <x:v>76123456-0</x:v>
      </x:c>
      <x:c r="D65" s="2" t="str">
        <x:v>portal_proveedor</x:v>
      </x:c>
      <x:c r="E65" s="2" t="str">
        <x:v>cumplido</x:v>
      </x:c>
      <x:c r="F65" s="2" t="str">
        <x:v>operador</x:v>
      </x:c>
      <x:c r="G65" s="15" t="d">
        <x:v>2026-07-19T00:00:00.000Z</x:v>
      </x:c>
      <x:c r="H65" s="2" t="str">
        <x:v>evidencias/FAC-1-0016-portal_proveedor.pdf</x:v>
      </x:c>
    </x:row>
    <x:row r="66">
      <x:c r="A66" s="2" t="str">
        <x:v>CHK-00065</x:v>
      </x:c>
      <x:c r="B66" s="2" t="str">
        <x:v>FAC-1-0017</x:v>
      </x:c>
      <x:c r="C66" s="2" t="str">
        <x:v>76123456-0</x:v>
      </x:c>
      <x:c r="D66" s="2" t="str">
        <x:v>aceptacion_sii</x:v>
      </x:c>
      <x:c r="E66" s="2" t="str">
        <x:v>cumplido</x:v>
      </x:c>
      <x:c r="F66" s="2" t="str">
        <x:v>operador</x:v>
      </x:c>
      <x:c r="G66" s="15" t="d">
        <x:v>2026-07-22T00:00:00.000Z</x:v>
      </x:c>
      <x:c r="H66" s="2" t="str">
        <x:v>evidencias/FAC-1-0017-aceptacion_sii.pdf</x:v>
      </x:c>
    </x:row>
    <x:row r="67">
      <x:c r="A67" s="2" t="str">
        <x:v>CHK-00066</x:v>
      </x:c>
      <x:c r="B67" s="2" t="str">
        <x:v>FAC-1-0017</x:v>
      </x:c>
      <x:c r="C67" s="2" t="str">
        <x:v>76123456-0</x:v>
      </x:c>
      <x:c r="D67" s="2" t="str">
        <x:v>orden_compra</x:v>
      </x:c>
      <x:c r="E67" s="2" t="str">
        <x:v>cumplido</x:v>
      </x:c>
      <x:c r="F67" s="2" t="str">
        <x:v>pagador</x:v>
      </x:c>
      <x:c r="G67" s="15" t="d">
        <x:v>2026-07-22T00:00:00.000Z</x:v>
      </x:c>
      <x:c r="H67" s="2" t="str">
        <x:v>evidencias/FAC-1-0017-orden_compra.pdf</x:v>
      </x:c>
    </x:row>
    <x:row r="68">
      <x:c r="A68" s="2" t="str">
        <x:v>CHK-00067</x:v>
      </x:c>
      <x:c r="B68" s="2" t="str">
        <x:v>FAC-1-0017</x:v>
      </x:c>
      <x:c r="C68" s="2" t="str">
        <x:v>76123456-0</x:v>
      </x:c>
      <x:c r="D68" s="2" t="str">
        <x:v>hes_conformidad</x:v>
      </x:c>
      <x:c r="E68" s="2" t="str">
        <x:v>no_aplica</x:v>
      </x:c>
      <x:c r="F68" s="2" t="str">
        <x:v>sistema</x:v>
      </x:c>
      <x:c r="G68" s="15" t="d">
        <x:v>2026-07-22T00:00:00.000Z</x:v>
      </x:c>
      <x:c r="H68" s="2" t="str"/>
    </x:row>
    <x:row r="69">
      <x:c r="A69" s="2" t="str">
        <x:v>CHK-00068</x:v>
      </x:c>
      <x:c r="B69" s="2" t="str">
        <x:v>FAC-1-0017</x:v>
      </x:c>
      <x:c r="C69" s="2" t="str">
        <x:v>76123456-0</x:v>
      </x:c>
      <x:c r="D69" s="2" t="str">
        <x:v>portal_proveedor</x:v>
      </x:c>
      <x:c r="E69" s="2" t="str">
        <x:v>cumplido</x:v>
      </x:c>
      <x:c r="F69" s="2" t="str">
        <x:v>operador</x:v>
      </x:c>
      <x:c r="G69" s="15" t="d">
        <x:v>2026-07-22T00:00:00.000Z</x:v>
      </x:c>
      <x:c r="H69" s="2" t="str">
        <x:v>evidencias/FAC-1-0017-portal_proveedor.pdf</x:v>
      </x:c>
    </x:row>
    <x:row r="70">
      <x:c r="A70" s="2" t="str">
        <x:v>CHK-00069</x:v>
      </x:c>
      <x:c r="B70" s="2" t="str">
        <x:v>FAC-1-0018</x:v>
      </x:c>
      <x:c r="C70" s="2" t="str">
        <x:v>76123456-0</x:v>
      </x:c>
      <x:c r="D70" s="2" t="str">
        <x:v>aceptacion_sii</x:v>
      </x:c>
      <x:c r="E70" s="2" t="str">
        <x:v>cumplido</x:v>
      </x:c>
      <x:c r="F70" s="2" t="str">
        <x:v>operador</x:v>
      </x:c>
      <x:c r="G70" s="15" t="d">
        <x:v>2026-09-26T00:00:00.000Z</x:v>
      </x:c>
      <x:c r="H70" s="2" t="str">
        <x:v>evidencias/FAC-1-0018-aceptacion_sii.pdf</x:v>
      </x:c>
    </x:row>
    <x:row r="71">
      <x:c r="A71" s="2" t="str">
        <x:v>CHK-00070</x:v>
      </x:c>
      <x:c r="B71" s="2" t="str">
        <x:v>FAC-1-0018</x:v>
      </x:c>
      <x:c r="C71" s="2" t="str">
        <x:v>76123456-0</x:v>
      </x:c>
      <x:c r="D71" s="2" t="str">
        <x:v>orden_compra</x:v>
      </x:c>
      <x:c r="E71" s="2" t="str">
        <x:v>cumplido</x:v>
      </x:c>
      <x:c r="F71" s="2" t="str">
        <x:v>pagador</x:v>
      </x:c>
      <x:c r="G71" s="15" t="d">
        <x:v>2026-09-26T00:00:00.000Z</x:v>
      </x:c>
      <x:c r="H71" s="2" t="str">
        <x:v>evidencias/FAC-1-0018-orden_compra.pdf</x:v>
      </x:c>
    </x:row>
    <x:row r="72">
      <x:c r="A72" s="2" t="str">
        <x:v>CHK-00071</x:v>
      </x:c>
      <x:c r="B72" s="2" t="str">
        <x:v>FAC-1-0018</x:v>
      </x:c>
      <x:c r="C72" s="2" t="str">
        <x:v>76123456-0</x:v>
      </x:c>
      <x:c r="D72" s="2" t="str">
        <x:v>hes_conformidad</x:v>
      </x:c>
      <x:c r="E72" s="2" t="str">
        <x:v>cumplido</x:v>
      </x:c>
      <x:c r="F72" s="2" t="str">
        <x:v>pagador</x:v>
      </x:c>
      <x:c r="G72" s="15" t="d">
        <x:v>2026-09-26T00:00:00.000Z</x:v>
      </x:c>
      <x:c r="H72" s="2" t="str">
        <x:v>evidencias/FAC-1-0018-hes_conformidad.pdf</x:v>
      </x:c>
    </x:row>
    <x:row r="73">
      <x:c r="A73" s="2" t="str">
        <x:v>CHK-00072</x:v>
      </x:c>
      <x:c r="B73" s="2" t="str">
        <x:v>FAC-1-0018</x:v>
      </x:c>
      <x:c r="C73" s="2" t="str">
        <x:v>76123456-0</x:v>
      </x:c>
      <x:c r="D73" s="2" t="str">
        <x:v>portal_proveedor</x:v>
      </x:c>
      <x:c r="E73" s="2" t="str">
        <x:v>cumplido</x:v>
      </x:c>
      <x:c r="F73" s="2" t="str">
        <x:v>operador</x:v>
      </x:c>
      <x:c r="G73" s="15" t="d">
        <x:v>2026-09-26T00:00:00.000Z</x:v>
      </x:c>
      <x:c r="H73" s="2" t="str">
        <x:v>evidencias/FAC-1-0018-portal_proveedor.pdf</x:v>
      </x:c>
    </x:row>
    <x:row r="74">
      <x:c r="A74" s="2" t="str">
        <x:v>CHK-00073</x:v>
      </x:c>
      <x:c r="B74" s="2" t="str">
        <x:v>FAC-1-0019</x:v>
      </x:c>
      <x:c r="C74" s="2" t="str">
        <x:v>76123456-0</x:v>
      </x:c>
      <x:c r="D74" s="2" t="str">
        <x:v>aceptacion_sii</x:v>
      </x:c>
      <x:c r="E74" s="2" t="str">
        <x:v>cumplido</x:v>
      </x:c>
      <x:c r="F74" s="2" t="str">
        <x:v>operador</x:v>
      </x:c>
      <x:c r="G74" s="15" t="d">
        <x:v>2026-08-24T00:00:00.000Z</x:v>
      </x:c>
      <x:c r="H74" s="2" t="str">
        <x:v>evidencias/FAC-1-0019-aceptacion_sii.pdf</x:v>
      </x:c>
    </x:row>
    <x:row r="75">
      <x:c r="A75" s="2" t="str">
        <x:v>CHK-00074</x:v>
      </x:c>
      <x:c r="B75" s="2" t="str">
        <x:v>FAC-1-0019</x:v>
      </x:c>
      <x:c r="C75" s="2" t="str">
        <x:v>76123456-0</x:v>
      </x:c>
      <x:c r="D75" s="2" t="str">
        <x:v>orden_compra</x:v>
      </x:c>
      <x:c r="E75" s="2" t="str">
        <x:v>cumplido</x:v>
      </x:c>
      <x:c r="F75" s="2" t="str">
        <x:v>pagador</x:v>
      </x:c>
      <x:c r="G75" s="15" t="d">
        <x:v>2026-08-24T00:00:00.000Z</x:v>
      </x:c>
      <x:c r="H75" s="2" t="str">
        <x:v>evidencias/FAC-1-0019-orden_compra.pdf</x:v>
      </x:c>
    </x:row>
    <x:row r="76">
      <x:c r="A76" s="2" t="str">
        <x:v>CHK-00075</x:v>
      </x:c>
      <x:c r="B76" s="2" t="str">
        <x:v>FAC-1-0019</x:v>
      </x:c>
      <x:c r="C76" s="2" t="str">
        <x:v>76123456-0</x:v>
      </x:c>
      <x:c r="D76" s="2" t="str">
        <x:v>hes_conformidad</x:v>
      </x:c>
      <x:c r="E76" s="2" t="str">
        <x:v>cumplido</x:v>
      </x:c>
      <x:c r="F76" s="2" t="str">
        <x:v>pagador</x:v>
      </x:c>
      <x:c r="G76" s="15" t="d">
        <x:v>2026-08-24T00:00:00.000Z</x:v>
      </x:c>
      <x:c r="H76" s="2" t="str">
        <x:v>evidencias/FAC-1-0019-hes_conformidad.pdf</x:v>
      </x:c>
    </x:row>
    <x:row r="77">
      <x:c r="A77" s="2" t="str">
        <x:v>CHK-00076</x:v>
      </x:c>
      <x:c r="B77" s="2" t="str">
        <x:v>FAC-1-0019</x:v>
      </x:c>
      <x:c r="C77" s="2" t="str">
        <x:v>76123456-0</x:v>
      </x:c>
      <x:c r="D77" s="2" t="str">
        <x:v>portal_proveedor</x:v>
      </x:c>
      <x:c r="E77" s="2" t="str">
        <x:v>no_aplica</x:v>
      </x:c>
      <x:c r="F77" s="2" t="str">
        <x:v>sistema</x:v>
      </x:c>
      <x:c r="G77" s="15" t="d">
        <x:v>2026-08-24T00:00:00.000Z</x:v>
      </x:c>
      <x:c r="H77" s="2" t="str"/>
    </x:row>
    <x:row r="78">
      <x:c r="A78" s="2" t="str">
        <x:v>CHK-00077</x:v>
      </x:c>
      <x:c r="B78" s="2" t="str">
        <x:v>FAC-1-0020</x:v>
      </x:c>
      <x:c r="C78" s="2" t="str">
        <x:v>76123456-0</x:v>
      </x:c>
      <x:c r="D78" s="2" t="str">
        <x:v>aceptacion_sii</x:v>
      </x:c>
      <x:c r="E78" s="2" t="str">
        <x:v>cumplido</x:v>
      </x:c>
      <x:c r="F78" s="2" t="str">
        <x:v>operador</x:v>
      </x:c>
      <x:c r="G78" s="15" t="d">
        <x:v>2026-07-29T00:00:00.000Z</x:v>
      </x:c>
      <x:c r="H78" s="2" t="str">
        <x:v>evidencias/FAC-1-0020-aceptacion_sii.pdf</x:v>
      </x:c>
    </x:row>
    <x:row r="79">
      <x:c r="A79" s="2" t="str">
        <x:v>CHK-00078</x:v>
      </x:c>
      <x:c r="B79" s="2" t="str">
        <x:v>FAC-1-0020</x:v>
      </x:c>
      <x:c r="C79" s="2" t="str">
        <x:v>76123456-0</x:v>
      </x:c>
      <x:c r="D79" s="2" t="str">
        <x:v>orden_compra</x:v>
      </x:c>
      <x:c r="E79" s="2" t="str">
        <x:v>cumplido</x:v>
      </x:c>
      <x:c r="F79" s="2" t="str">
        <x:v>pagador</x:v>
      </x:c>
      <x:c r="G79" s="15" t="d">
        <x:v>2026-07-29T00:00:00.000Z</x:v>
      </x:c>
      <x:c r="H79" s="2" t="str">
        <x:v>evidencias/FAC-1-0020-orden_compra.pdf</x:v>
      </x:c>
    </x:row>
    <x:row r="80">
      <x:c r="A80" s="2" t="str">
        <x:v>CHK-00079</x:v>
      </x:c>
      <x:c r="B80" s="2" t="str">
        <x:v>FAC-1-0020</x:v>
      </x:c>
      <x:c r="C80" s="2" t="str">
        <x:v>76123456-0</x:v>
      </x:c>
      <x:c r="D80" s="2" t="str">
        <x:v>hes_conformidad</x:v>
      </x:c>
      <x:c r="E80" s="2" t="str">
        <x:v>no_aplica</x:v>
      </x:c>
      <x:c r="F80" s="2" t="str">
        <x:v>sistema</x:v>
      </x:c>
      <x:c r="G80" s="15" t="d">
        <x:v>2026-07-29T00:00:00.000Z</x:v>
      </x:c>
      <x:c r="H80" s="2" t="str"/>
    </x:row>
    <x:row r="81">
      <x:c r="A81" s="2" t="str">
        <x:v>CHK-00080</x:v>
      </x:c>
      <x:c r="B81" s="2" t="str">
        <x:v>FAC-1-0020</x:v>
      </x:c>
      <x:c r="C81" s="2" t="str">
        <x:v>76123456-0</x:v>
      </x:c>
      <x:c r="D81" s="2" t="str">
        <x:v>portal_proveedor</x:v>
      </x:c>
      <x:c r="E81" s="2" t="str">
        <x:v>no_aplica</x:v>
      </x:c>
      <x:c r="F81" s="2" t="str">
        <x:v>sistema</x:v>
      </x:c>
      <x:c r="G81" s="15" t="d">
        <x:v>2026-07-29T00:00:00.000Z</x:v>
      </x:c>
      <x:c r="H81" s="2" t="str"/>
    </x:row>
    <x:row r="82">
      <x:c r="A82" s="2" t="str">
        <x:v>CHK-00081</x:v>
      </x:c>
      <x:c r="B82" s="2" t="str">
        <x:v>FAC-1-0021</x:v>
      </x:c>
      <x:c r="C82" s="2" t="str">
        <x:v>76123456-0</x:v>
      </x:c>
      <x:c r="D82" s="2" t="str">
        <x:v>aceptacion_sii</x:v>
      </x:c>
      <x:c r="E82" s="2" t="str">
        <x:v>cumplido</x:v>
      </x:c>
      <x:c r="F82" s="2" t="str">
        <x:v>operador</x:v>
      </x:c>
      <x:c r="G82" s="15" t="d">
        <x:v>2026-09-11T00:00:00.000Z</x:v>
      </x:c>
      <x:c r="H82" s="2" t="str">
        <x:v>evidencias/FAC-1-0021-aceptacion_sii.pdf</x:v>
      </x:c>
    </x:row>
    <x:row r="83">
      <x:c r="A83" s="2" t="str">
        <x:v>CHK-00082</x:v>
      </x:c>
      <x:c r="B83" s="2" t="str">
        <x:v>FAC-1-0021</x:v>
      </x:c>
      <x:c r="C83" s="2" t="str">
        <x:v>76123456-0</x:v>
      </x:c>
      <x:c r="D83" s="2" t="str">
        <x:v>orden_compra</x:v>
      </x:c>
      <x:c r="E83" s="2" t="str">
        <x:v>cumplido</x:v>
      </x:c>
      <x:c r="F83" s="2" t="str">
        <x:v>pagador</x:v>
      </x:c>
      <x:c r="G83" s="15" t="d">
        <x:v>2026-09-11T00:00:00.000Z</x:v>
      </x:c>
      <x:c r="H83" s="2" t="str">
        <x:v>evidencias/FAC-1-0021-orden_compra.pdf</x:v>
      </x:c>
    </x:row>
    <x:row r="84">
      <x:c r="A84" s="2" t="str">
        <x:v>CHK-00083</x:v>
      </x:c>
      <x:c r="B84" s="2" t="str">
        <x:v>FAC-1-0021</x:v>
      </x:c>
      <x:c r="C84" s="2" t="str">
        <x:v>76123456-0</x:v>
      </x:c>
      <x:c r="D84" s="2" t="str">
        <x:v>hes_conformidad</x:v>
      </x:c>
      <x:c r="E84" s="2" t="str">
        <x:v>cumplido</x:v>
      </x:c>
      <x:c r="F84" s="2" t="str">
        <x:v>pagador</x:v>
      </x:c>
      <x:c r="G84" s="15" t="d">
        <x:v>2026-09-11T00:00:00.000Z</x:v>
      </x:c>
      <x:c r="H84" s="2" t="str">
        <x:v>evidencias/FAC-1-0021-hes_conformidad.pdf</x:v>
      </x:c>
    </x:row>
    <x:row r="85">
      <x:c r="A85" s="2" t="str">
        <x:v>CHK-00084</x:v>
      </x:c>
      <x:c r="B85" s="2" t="str">
        <x:v>FAC-1-0021</x:v>
      </x:c>
      <x:c r="C85" s="2" t="str">
        <x:v>76123456-0</x:v>
      </x:c>
      <x:c r="D85" s="2" t="str">
        <x:v>portal_proveedor</x:v>
      </x:c>
      <x:c r="E85" s="2" t="str">
        <x:v>cumplido</x:v>
      </x:c>
      <x:c r="F85" s="2" t="str">
        <x:v>operador</x:v>
      </x:c>
      <x:c r="G85" s="15" t="d">
        <x:v>2026-09-11T00:00:00.000Z</x:v>
      </x:c>
      <x:c r="H85" s="2" t="str">
        <x:v>evidencias/FAC-1-0021-portal_proveedor.pdf</x:v>
      </x:c>
    </x:row>
    <x:row r="86">
      <x:c r="A86" s="2" t="str">
        <x:v>CHK-00085</x:v>
      </x:c>
      <x:c r="B86" s="2" t="str">
        <x:v>FAC-1-0022</x:v>
      </x:c>
      <x:c r="C86" s="2" t="str">
        <x:v>76123456-0</x:v>
      </x:c>
      <x:c r="D86" s="2" t="str">
        <x:v>aceptacion_sii</x:v>
      </x:c>
      <x:c r="E86" s="2" t="str">
        <x:v>cumplido</x:v>
      </x:c>
      <x:c r="F86" s="2" t="str">
        <x:v>operador</x:v>
      </x:c>
      <x:c r="G86" s="15" t="d">
        <x:v>2026-09-15T00:00:00.000Z</x:v>
      </x:c>
      <x:c r="H86" s="2" t="str">
        <x:v>evidencias/FAC-1-0022-aceptacion_sii.pdf</x:v>
      </x:c>
    </x:row>
    <x:row r="87">
      <x:c r="A87" s="2" t="str">
        <x:v>CHK-00086</x:v>
      </x:c>
      <x:c r="B87" s="2" t="str">
        <x:v>FAC-1-0022</x:v>
      </x:c>
      <x:c r="C87" s="2" t="str">
        <x:v>76123456-0</x:v>
      </x:c>
      <x:c r="D87" s="2" t="str">
        <x:v>orden_compra</x:v>
      </x:c>
      <x:c r="E87" s="2" t="str">
        <x:v>cumplido</x:v>
      </x:c>
      <x:c r="F87" s="2" t="str">
        <x:v>pagador</x:v>
      </x:c>
      <x:c r="G87" s="15" t="d">
        <x:v>2026-09-15T00:00:00.000Z</x:v>
      </x:c>
      <x:c r="H87" s="2" t="str">
        <x:v>evidencias/FAC-1-0022-orden_compra.pdf</x:v>
      </x:c>
    </x:row>
    <x:row r="88">
      <x:c r="A88" s="2" t="str">
        <x:v>CHK-00087</x:v>
      </x:c>
      <x:c r="B88" s="2" t="str">
        <x:v>FAC-1-0022</x:v>
      </x:c>
      <x:c r="C88" s="2" t="str">
        <x:v>76123456-0</x:v>
      </x:c>
      <x:c r="D88" s="2" t="str">
        <x:v>hes_conformidad</x:v>
      </x:c>
      <x:c r="E88" s="2" t="str">
        <x:v>no_aplica</x:v>
      </x:c>
      <x:c r="F88" s="2" t="str">
        <x:v>sistema</x:v>
      </x:c>
      <x:c r="G88" s="15" t="d">
        <x:v>2026-09-15T00:00:00.000Z</x:v>
      </x:c>
      <x:c r="H88" s="2" t="str"/>
    </x:row>
    <x:row r="89">
      <x:c r="A89" s="2" t="str">
        <x:v>CHK-00088</x:v>
      </x:c>
      <x:c r="B89" s="2" t="str">
        <x:v>FAC-1-0022</x:v>
      </x:c>
      <x:c r="C89" s="2" t="str">
        <x:v>76123456-0</x:v>
      </x:c>
      <x:c r="D89" s="2" t="str">
        <x:v>portal_proveedor</x:v>
      </x:c>
      <x:c r="E89" s="2" t="str">
        <x:v>cumplido</x:v>
      </x:c>
      <x:c r="F89" s="2" t="str">
        <x:v>operador</x:v>
      </x:c>
      <x:c r="G89" s="15" t="d">
        <x:v>2026-09-15T00:00:00.000Z</x:v>
      </x:c>
      <x:c r="H89" s="2" t="str">
        <x:v>evidencias/FAC-1-0022-portal_proveedor.pdf</x:v>
      </x:c>
    </x:row>
    <x:row r="90">
      <x:c r="A90" s="2" t="str">
        <x:v>CHK-00089</x:v>
      </x:c>
      <x:c r="B90" s="2" t="str">
        <x:v>FAC-1-0023</x:v>
      </x:c>
      <x:c r="C90" s="2" t="str">
        <x:v>76123456-0</x:v>
      </x:c>
      <x:c r="D90" s="2" t="str">
        <x:v>aceptacion_sii</x:v>
      </x:c>
      <x:c r="E90" s="2" t="str">
        <x:v>cumplido</x:v>
      </x:c>
      <x:c r="F90" s="2" t="str">
        <x:v>operador</x:v>
      </x:c>
      <x:c r="G90" s="15" t="d">
        <x:v>2026-09-29T00:00:00.000Z</x:v>
      </x:c>
      <x:c r="H90" s="2" t="str">
        <x:v>evidencias/FAC-1-0023-aceptacion_sii.pdf</x:v>
      </x:c>
    </x:row>
    <x:row r="91">
      <x:c r="A91" s="2" t="str">
        <x:v>CHK-00090</x:v>
      </x:c>
      <x:c r="B91" s="2" t="str">
        <x:v>FAC-1-0023</x:v>
      </x:c>
      <x:c r="C91" s="2" t="str">
        <x:v>76123456-0</x:v>
      </x:c>
      <x:c r="D91" s="2" t="str">
        <x:v>orden_compra</x:v>
      </x:c>
      <x:c r="E91" s="2" t="str">
        <x:v>cumplido</x:v>
      </x:c>
      <x:c r="F91" s="2" t="str">
        <x:v>pagador</x:v>
      </x:c>
      <x:c r="G91" s="15" t="d">
        <x:v>2026-09-29T00:00:00.000Z</x:v>
      </x:c>
      <x:c r="H91" s="2" t="str">
        <x:v>evidencias/FAC-1-0023-orden_compra.pdf</x:v>
      </x:c>
    </x:row>
    <x:row r="92">
      <x:c r="A92" s="2" t="str">
        <x:v>CHK-00091</x:v>
      </x:c>
      <x:c r="B92" s="2" t="str">
        <x:v>FAC-1-0023</x:v>
      </x:c>
      <x:c r="C92" s="2" t="str">
        <x:v>76123456-0</x:v>
      </x:c>
      <x:c r="D92" s="2" t="str">
        <x:v>hes_conformidad</x:v>
      </x:c>
      <x:c r="E92" s="2" t="str">
        <x:v>cumplido</x:v>
      </x:c>
      <x:c r="F92" s="2" t="str">
        <x:v>pagador</x:v>
      </x:c>
      <x:c r="G92" s="15" t="d">
        <x:v>2026-09-29T00:00:00.000Z</x:v>
      </x:c>
      <x:c r="H92" s="2" t="str">
        <x:v>evidencias/FAC-1-0023-hes_conformidad.pdf</x:v>
      </x:c>
    </x:row>
    <x:row r="93">
      <x:c r="A93" s="2" t="str">
        <x:v>CHK-00092</x:v>
      </x:c>
      <x:c r="B93" s="2" t="str">
        <x:v>FAC-1-0023</x:v>
      </x:c>
      <x:c r="C93" s="2" t="str">
        <x:v>76123456-0</x:v>
      </x:c>
      <x:c r="D93" s="2" t="str">
        <x:v>portal_proveedor</x:v>
      </x:c>
      <x:c r="E93" s="2" t="str">
        <x:v>cumplido</x:v>
      </x:c>
      <x:c r="F93" s="2" t="str">
        <x:v>operador</x:v>
      </x:c>
      <x:c r="G93" s="15" t="d">
        <x:v>2026-09-29T00:00:00.000Z</x:v>
      </x:c>
      <x:c r="H93" s="2" t="str">
        <x:v>evidencias/FAC-1-0023-portal_proveedor.pdf</x:v>
      </x:c>
    </x:row>
    <x:row r="94">
      <x:c r="A94" s="2" t="str">
        <x:v>CHK-00093</x:v>
      </x:c>
      <x:c r="B94" s="2" t="str">
        <x:v>FAC-1-0024</x:v>
      </x:c>
      <x:c r="C94" s="2" t="str">
        <x:v>76123456-0</x:v>
      </x:c>
      <x:c r="D94" s="2" t="str">
        <x:v>aceptacion_sii</x:v>
      </x:c>
      <x:c r="E94" s="2" t="str">
        <x:v>cumplido</x:v>
      </x:c>
      <x:c r="F94" s="2" t="str">
        <x:v>operador</x:v>
      </x:c>
      <x:c r="G94" s="15" t="d">
        <x:v>2026-08-10T00:00:00.000Z</x:v>
      </x:c>
      <x:c r="H94" s="2" t="str">
        <x:v>evidencias/FAC-1-0024-aceptacion_sii.pdf</x:v>
      </x:c>
    </x:row>
    <x:row r="95">
      <x:c r="A95" s="2" t="str">
        <x:v>CHK-00094</x:v>
      </x:c>
      <x:c r="B95" s="2" t="str">
        <x:v>FAC-1-0024</x:v>
      </x:c>
      <x:c r="C95" s="2" t="str">
        <x:v>76123456-0</x:v>
      </x:c>
      <x:c r="D95" s="2" t="str">
        <x:v>orden_compra</x:v>
      </x:c>
      <x:c r="E95" s="2" t="str">
        <x:v>pendiente</x:v>
      </x:c>
      <x:c r="F95" s="2" t="str">
        <x:v>pagador</x:v>
      </x:c>
      <x:c r="G95" s="15" t="d">
        <x:v>2026-08-10T00:00:00.000Z</x:v>
      </x:c>
      <x:c r="H95" s="2" t="str"/>
    </x:row>
    <x:row r="96">
      <x:c r="A96" s="2" t="str">
        <x:v>CHK-00095</x:v>
      </x:c>
      <x:c r="B96" s="2" t="str">
        <x:v>FAC-1-0024</x:v>
      </x:c>
      <x:c r="C96" s="2" t="str">
        <x:v>76123456-0</x:v>
      </x:c>
      <x:c r="D96" s="2" t="str">
        <x:v>hes_conformidad</x:v>
      </x:c>
      <x:c r="E96" s="2" t="str">
        <x:v>cumplido</x:v>
      </x:c>
      <x:c r="F96" s="2" t="str">
        <x:v>pagador</x:v>
      </x:c>
      <x:c r="G96" s="15" t="d">
        <x:v>2026-08-10T00:00:00.000Z</x:v>
      </x:c>
      <x:c r="H96" s="2" t="str">
        <x:v>evidencias/FAC-1-0024-hes_conformidad.pdf</x:v>
      </x:c>
    </x:row>
    <x:row r="97">
      <x:c r="A97" s="2" t="str">
        <x:v>CHK-00096</x:v>
      </x:c>
      <x:c r="B97" s="2" t="str">
        <x:v>FAC-1-0024</x:v>
      </x:c>
      <x:c r="C97" s="2" t="str">
        <x:v>76123456-0</x:v>
      </x:c>
      <x:c r="D97" s="2" t="str">
        <x:v>portal_proveedor</x:v>
      </x:c>
      <x:c r="E97" s="2" t="str">
        <x:v>no_aplica</x:v>
      </x:c>
      <x:c r="F97" s="2" t="str">
        <x:v>sistema</x:v>
      </x:c>
      <x:c r="G97" s="15" t="d">
        <x:v>2026-08-10T00:00:00.000Z</x:v>
      </x:c>
      <x:c r="H97" s="2" t="str"/>
    </x:row>
    <x:row r="98">
      <x:c r="A98" s="2" t="str">
        <x:v>CHK-00097</x:v>
      </x:c>
      <x:c r="B98" s="2" t="str">
        <x:v>FAC-1-0025</x:v>
      </x:c>
      <x:c r="C98" s="2" t="str">
        <x:v>76123456-0</x:v>
      </x:c>
      <x:c r="D98" s="2" t="str">
        <x:v>aceptacion_sii</x:v>
      </x:c>
      <x:c r="E98" s="2" t="str">
        <x:v>cumplido</x:v>
      </x:c>
      <x:c r="F98" s="2" t="str">
        <x:v>operador</x:v>
      </x:c>
      <x:c r="G98" s="15" t="d">
        <x:v>2026-08-13T00:00:00.000Z</x:v>
      </x:c>
      <x:c r="H98" s="2" t="str">
        <x:v>evidencias/FAC-1-0025-aceptacion_sii.pdf</x:v>
      </x:c>
    </x:row>
    <x:row r="99">
      <x:c r="A99" s="2" t="str">
        <x:v>CHK-00098</x:v>
      </x:c>
      <x:c r="B99" s="2" t="str">
        <x:v>FAC-1-0025</x:v>
      </x:c>
      <x:c r="C99" s="2" t="str">
        <x:v>76123456-0</x:v>
      </x:c>
      <x:c r="D99" s="2" t="str">
        <x:v>orden_compra</x:v>
      </x:c>
      <x:c r="E99" s="2" t="str">
        <x:v>cumplido</x:v>
      </x:c>
      <x:c r="F99" s="2" t="str">
        <x:v>pagador</x:v>
      </x:c>
      <x:c r="G99" s="15" t="d">
        <x:v>2026-08-13T00:00:00.000Z</x:v>
      </x:c>
      <x:c r="H99" s="2" t="str">
        <x:v>evidencias/FAC-1-0025-orden_compra.pdf</x:v>
      </x:c>
    </x:row>
    <x:row r="100">
      <x:c r="A100" s="2" t="str">
        <x:v>CHK-00099</x:v>
      </x:c>
      <x:c r="B100" s="2" t="str">
        <x:v>FAC-1-0025</x:v>
      </x:c>
      <x:c r="C100" s="2" t="str">
        <x:v>76123456-0</x:v>
      </x:c>
      <x:c r="D100" s="2" t="str">
        <x:v>hes_conformidad</x:v>
      </x:c>
      <x:c r="E100" s="2" t="str">
        <x:v>no_aplica</x:v>
      </x:c>
      <x:c r="F100" s="2" t="str">
        <x:v>sistema</x:v>
      </x:c>
      <x:c r="G100" s="15" t="d">
        <x:v>2026-08-13T00:00:00.000Z</x:v>
      </x:c>
      <x:c r="H100" s="2" t="str"/>
    </x:row>
    <x:row r="101">
      <x:c r="A101" s="2" t="str">
        <x:v>CHK-00100</x:v>
      </x:c>
      <x:c r="B101" s="2" t="str">
        <x:v>FAC-1-0025</x:v>
      </x:c>
      <x:c r="C101" s="2" t="str">
        <x:v>76123456-0</x:v>
      </x:c>
      <x:c r="D101" s="2" t="str">
        <x:v>portal_proveedor</x:v>
      </x:c>
      <x:c r="E101" s="2" t="str">
        <x:v>no_aplica</x:v>
      </x:c>
      <x:c r="F101" s="2" t="str">
        <x:v>sistema</x:v>
      </x:c>
      <x:c r="G101" s="15" t="d">
        <x:v>2026-08-13T00:00:00.000Z</x:v>
      </x:c>
      <x:c r="H101" s="2" t="str"/>
    </x:row>
    <x:row r="102">
      <x:c r="A102" s="2" t="str">
        <x:v>CHK-00101</x:v>
      </x:c>
      <x:c r="B102" s="2" t="str">
        <x:v>FAC-1-0026</x:v>
      </x:c>
      <x:c r="C102" s="2" t="str">
        <x:v>76123456-0</x:v>
      </x:c>
      <x:c r="D102" s="2" t="str">
        <x:v>aceptacion_sii</x:v>
      </x:c>
      <x:c r="E102" s="2" t="str">
        <x:v>reclamado</x:v>
      </x:c>
      <x:c r="F102" s="2" t="str">
        <x:v>operador</x:v>
      </x:c>
      <x:c r="G102" s="15" t="d">
        <x:v>2026-08-18T00:00:00.000Z</x:v>
      </x:c>
      <x:c r="H102" s="2" t="str"/>
    </x:row>
    <x:row r="103">
      <x:c r="A103" s="2" t="str">
        <x:v>CHK-00102</x:v>
      </x:c>
      <x:c r="B103" s="2" t="str">
        <x:v>FAC-1-0026</x:v>
      </x:c>
      <x:c r="C103" s="2" t="str">
        <x:v>76123456-0</x:v>
      </x:c>
      <x:c r="D103" s="2" t="str">
        <x:v>orden_compra</x:v>
      </x:c>
      <x:c r="E103" s="2" t="str">
        <x:v>cumplido</x:v>
      </x:c>
      <x:c r="F103" s="2" t="str">
        <x:v>pagador</x:v>
      </x:c>
      <x:c r="G103" s="15" t="d">
        <x:v>2026-08-18T00:00:00.000Z</x:v>
      </x:c>
      <x:c r="H103" s="2" t="str">
        <x:v>evidencias/FAC-1-0026-orden_compra.pdf</x:v>
      </x:c>
    </x:row>
    <x:row r="104">
      <x:c r="A104" s="2" t="str">
        <x:v>CHK-00103</x:v>
      </x:c>
      <x:c r="B104" s="2" t="str">
        <x:v>FAC-1-0026</x:v>
      </x:c>
      <x:c r="C104" s="2" t="str">
        <x:v>76123456-0</x:v>
      </x:c>
      <x:c r="D104" s="2" t="str">
        <x:v>hes_conformidad</x:v>
      </x:c>
      <x:c r="E104" s="2" t="str">
        <x:v>cumplido</x:v>
      </x:c>
      <x:c r="F104" s="2" t="str">
        <x:v>pagador</x:v>
      </x:c>
      <x:c r="G104" s="15" t="d">
        <x:v>2026-08-18T00:00:00.000Z</x:v>
      </x:c>
      <x:c r="H104" s="2" t="str">
        <x:v>evidencias/FAC-1-0026-hes_conformidad.pdf</x:v>
      </x:c>
    </x:row>
    <x:row r="105">
      <x:c r="A105" s="2" t="str">
        <x:v>CHK-00104</x:v>
      </x:c>
      <x:c r="B105" s="2" t="str">
        <x:v>FAC-1-0026</x:v>
      </x:c>
      <x:c r="C105" s="2" t="str">
        <x:v>76123456-0</x:v>
      </x:c>
      <x:c r="D105" s="2" t="str">
        <x:v>portal_proveedor</x:v>
      </x:c>
      <x:c r="E105" s="2" t="str">
        <x:v>cumplido</x:v>
      </x:c>
      <x:c r="F105" s="2" t="str">
        <x:v>operador</x:v>
      </x:c>
      <x:c r="G105" s="15" t="d">
        <x:v>2026-08-18T00:00:00.000Z</x:v>
      </x:c>
      <x:c r="H105" s="2" t="str">
        <x:v>evidencias/FAC-1-0026-portal_proveedor.pdf</x:v>
      </x:c>
    </x:row>
    <x:row r="106">
      <x:c r="A106" s="2" t="str">
        <x:v>CHK-00105</x:v>
      </x:c>
      <x:c r="B106" s="2" t="str">
        <x:v>FAC-1-0027</x:v>
      </x:c>
      <x:c r="C106" s="2" t="str">
        <x:v>76123456-0</x:v>
      </x:c>
      <x:c r="D106" s="2" t="str">
        <x:v>aceptacion_sii</x:v>
      </x:c>
      <x:c r="E106" s="2" t="str">
        <x:v>cumplido</x:v>
      </x:c>
      <x:c r="F106" s="2" t="str">
        <x:v>operador</x:v>
      </x:c>
      <x:c r="G106" s="15" t="d">
        <x:v>2026-08-21T00:00:00.000Z</x:v>
      </x:c>
      <x:c r="H106" s="2" t="str">
        <x:v>evidencias/FAC-1-0027-aceptacion_sii.pdf</x:v>
      </x:c>
    </x:row>
    <x:row r="107">
      <x:c r="A107" s="2" t="str">
        <x:v>CHK-00106</x:v>
      </x:c>
      <x:c r="B107" s="2" t="str">
        <x:v>FAC-1-0027</x:v>
      </x:c>
      <x:c r="C107" s="2" t="str">
        <x:v>76123456-0</x:v>
      </x:c>
      <x:c r="D107" s="2" t="str">
        <x:v>orden_compra</x:v>
      </x:c>
      <x:c r="E107" s="2" t="str">
        <x:v>cumplido</x:v>
      </x:c>
      <x:c r="F107" s="2" t="str">
        <x:v>pagador</x:v>
      </x:c>
      <x:c r="G107" s="15" t="d">
        <x:v>2026-08-21T00:00:00.000Z</x:v>
      </x:c>
      <x:c r="H107" s="2" t="str">
        <x:v>evidencias/FAC-1-0027-orden_compra.pdf</x:v>
      </x:c>
    </x:row>
    <x:row r="108">
      <x:c r="A108" s="2" t="str">
        <x:v>CHK-00107</x:v>
      </x:c>
      <x:c r="B108" s="2" t="str">
        <x:v>FAC-1-0027</x:v>
      </x:c>
      <x:c r="C108" s="2" t="str">
        <x:v>76123456-0</x:v>
      </x:c>
      <x:c r="D108" s="2" t="str">
        <x:v>hes_conformidad</x:v>
      </x:c>
      <x:c r="E108" s="2" t="str">
        <x:v>no_aplica</x:v>
      </x:c>
      <x:c r="F108" s="2" t="str">
        <x:v>sistema</x:v>
      </x:c>
      <x:c r="G108" s="15" t="d">
        <x:v>2026-08-21T00:00:00.000Z</x:v>
      </x:c>
      <x:c r="H108" s="2" t="str"/>
    </x:row>
    <x:row r="109">
      <x:c r="A109" s="2" t="str">
        <x:v>CHK-00108</x:v>
      </x:c>
      <x:c r="B109" s="2" t="str">
        <x:v>FAC-1-0027</x:v>
      </x:c>
      <x:c r="C109" s="2" t="str">
        <x:v>76123456-0</x:v>
      </x:c>
      <x:c r="D109" s="2" t="str">
        <x:v>portal_proveedor</x:v>
      </x:c>
      <x:c r="E109" s="2" t="str">
        <x:v>cumplido</x:v>
      </x:c>
      <x:c r="F109" s="2" t="str">
        <x:v>operador</x:v>
      </x:c>
      <x:c r="G109" s="15" t="d">
        <x:v>2026-08-21T00:00:00.000Z</x:v>
      </x:c>
      <x:c r="H109" s="2" t="str">
        <x:v>evidencias/FAC-1-0027-portal_proveedor.pdf</x:v>
      </x:c>
    </x:row>
    <x:row r="110">
      <x:c r="A110" s="2" t="str">
        <x:v>CHK-00109</x:v>
      </x:c>
      <x:c r="B110" s="2" t="str">
        <x:v>FAC-1-0028</x:v>
      </x:c>
      <x:c r="C110" s="2" t="str">
        <x:v>76123456-0</x:v>
      </x:c>
      <x:c r="D110" s="2" t="str">
        <x:v>aceptacion_sii</x:v>
      </x:c>
      <x:c r="E110" s="2" t="str">
        <x:v>cumplido</x:v>
      </x:c>
      <x:c r="F110" s="2" t="str">
        <x:v>operador</x:v>
      </x:c>
      <x:c r="G110" s="15" t="d">
        <x:v>2026-08-24T00:00:00.000Z</x:v>
      </x:c>
      <x:c r="H110" s="2" t="str">
        <x:v>evidencias/FAC-1-0028-aceptacion_sii.pdf</x:v>
      </x:c>
    </x:row>
    <x:row r="111">
      <x:c r="A111" s="2" t="str">
        <x:v>CHK-00110</x:v>
      </x:c>
      <x:c r="B111" s="2" t="str">
        <x:v>FAC-1-0028</x:v>
      </x:c>
      <x:c r="C111" s="2" t="str">
        <x:v>76123456-0</x:v>
      </x:c>
      <x:c r="D111" s="2" t="str">
        <x:v>orden_compra</x:v>
      </x:c>
      <x:c r="E111" s="2" t="str">
        <x:v>cumplido</x:v>
      </x:c>
      <x:c r="F111" s="2" t="str">
        <x:v>pagador</x:v>
      </x:c>
      <x:c r="G111" s="15" t="d">
        <x:v>2026-08-24T00:00:00.000Z</x:v>
      </x:c>
      <x:c r="H111" s="2" t="str">
        <x:v>evidencias/FAC-1-0028-orden_compra.pdf</x:v>
      </x:c>
    </x:row>
    <x:row r="112">
      <x:c r="A112" s="2" t="str">
        <x:v>CHK-00111</x:v>
      </x:c>
      <x:c r="B112" s="2" t="str">
        <x:v>FAC-1-0028</x:v>
      </x:c>
      <x:c r="C112" s="2" t="str">
        <x:v>76123456-0</x:v>
      </x:c>
      <x:c r="D112" s="2" t="str">
        <x:v>hes_conformidad</x:v>
      </x:c>
      <x:c r="E112" s="2" t="str">
        <x:v>cumplido</x:v>
      </x:c>
      <x:c r="F112" s="2" t="str">
        <x:v>pagador</x:v>
      </x:c>
      <x:c r="G112" s="15" t="d">
        <x:v>2026-08-24T00:00:00.000Z</x:v>
      </x:c>
      <x:c r="H112" s="2" t="str">
        <x:v>evidencias/FAC-1-0028-hes_conformidad.pdf</x:v>
      </x:c>
    </x:row>
    <x:row r="113">
      <x:c r="A113" s="2" t="str">
        <x:v>CHK-00112</x:v>
      </x:c>
      <x:c r="B113" s="2" t="str">
        <x:v>FAC-1-0028</x:v>
      </x:c>
      <x:c r="C113" s="2" t="str">
        <x:v>76123456-0</x:v>
      </x:c>
      <x:c r="D113" s="2" t="str">
        <x:v>portal_proveedor</x:v>
      </x:c>
      <x:c r="E113" s="2" t="str">
        <x:v>cumplido</x:v>
      </x:c>
      <x:c r="F113" s="2" t="str">
        <x:v>operador</x:v>
      </x:c>
      <x:c r="G113" s="15" t="d">
        <x:v>2026-08-24T00:00:00.000Z</x:v>
      </x:c>
      <x:c r="H113" s="2" t="str">
        <x:v>evidencias/FAC-1-0028-portal_proveedor.pdf</x:v>
      </x:c>
    </x:row>
    <x:row r="114">
      <x:c r="A114" s="2" t="str">
        <x:v>CHK-00113</x:v>
      </x:c>
      <x:c r="B114" s="2" t="str">
        <x:v>FAC-1-0029</x:v>
      </x:c>
      <x:c r="C114" s="2" t="str">
        <x:v>76123456-0</x:v>
      </x:c>
      <x:c r="D114" s="2" t="str">
        <x:v>aceptacion_sii</x:v>
      </x:c>
      <x:c r="E114" s="2" t="str">
        <x:v>cumplido</x:v>
      </x:c>
      <x:c r="F114" s="2" t="str">
        <x:v>operador</x:v>
      </x:c>
      <x:c r="G114" s="15" t="d">
        <x:v>2026-09-23T00:00:00.000Z</x:v>
      </x:c>
      <x:c r="H114" s="2" t="str">
        <x:v>evidencias/FAC-1-0029-aceptacion_sii.pdf</x:v>
      </x:c>
    </x:row>
    <x:row r="115">
      <x:c r="A115" s="2" t="str">
        <x:v>CHK-00114</x:v>
      </x:c>
      <x:c r="B115" s="2" t="str">
        <x:v>FAC-1-0029</x:v>
      </x:c>
      <x:c r="C115" s="2" t="str">
        <x:v>76123456-0</x:v>
      </x:c>
      <x:c r="D115" s="2" t="str">
        <x:v>orden_compra</x:v>
      </x:c>
      <x:c r="E115" s="2" t="str">
        <x:v>cumplido</x:v>
      </x:c>
      <x:c r="F115" s="2" t="str">
        <x:v>pagador</x:v>
      </x:c>
      <x:c r="G115" s="15" t="d">
        <x:v>2026-09-23T00:00:00.000Z</x:v>
      </x:c>
      <x:c r="H115" s="2" t="str">
        <x:v>evidencias/FAC-1-0029-orden_compra.pdf</x:v>
      </x:c>
    </x:row>
    <x:row r="116">
      <x:c r="A116" s="2" t="str">
        <x:v>CHK-00115</x:v>
      </x:c>
      <x:c r="B116" s="2" t="str">
        <x:v>FAC-1-0029</x:v>
      </x:c>
      <x:c r="C116" s="2" t="str">
        <x:v>76123456-0</x:v>
      </x:c>
      <x:c r="D116" s="2" t="str">
        <x:v>hes_conformidad</x:v>
      </x:c>
      <x:c r="E116" s="2" t="str">
        <x:v>cumplido</x:v>
      </x:c>
      <x:c r="F116" s="2" t="str">
        <x:v>pagador</x:v>
      </x:c>
      <x:c r="G116" s="15" t="d">
        <x:v>2026-09-23T00:00:00.000Z</x:v>
      </x:c>
      <x:c r="H116" s="2" t="str">
        <x:v>evidencias/FAC-1-0029-hes_conformidad.pdf</x:v>
      </x:c>
    </x:row>
    <x:row r="117">
      <x:c r="A117" s="2" t="str">
        <x:v>CHK-00116</x:v>
      </x:c>
      <x:c r="B117" s="2" t="str">
        <x:v>FAC-1-0029</x:v>
      </x:c>
      <x:c r="C117" s="2" t="str">
        <x:v>76123456-0</x:v>
      </x:c>
      <x:c r="D117" s="2" t="str">
        <x:v>portal_proveedor</x:v>
      </x:c>
      <x:c r="E117" s="2" t="str">
        <x:v>no_aplica</x:v>
      </x:c>
      <x:c r="F117" s="2" t="str">
        <x:v>sistema</x:v>
      </x:c>
      <x:c r="G117" s="15" t="d">
        <x:v>2026-09-23T00:00:00.000Z</x:v>
      </x:c>
      <x:c r="H117" s="2" t="str"/>
    </x:row>
    <x:row r="118">
      <x:c r="A118" s="2" t="str">
        <x:v>CHK-00117</x:v>
      </x:c>
      <x:c r="B118" s="2" t="str">
        <x:v>FAC-1-0030</x:v>
      </x:c>
      <x:c r="C118" s="2" t="str">
        <x:v>76123456-0</x:v>
      </x:c>
      <x:c r="D118" s="2" t="str">
        <x:v>aceptacion_sii</x:v>
      </x:c>
      <x:c r="E118" s="2" t="str">
        <x:v>cumplido</x:v>
      </x:c>
      <x:c r="F118" s="2" t="str">
        <x:v>operador</x:v>
      </x:c>
      <x:c r="G118" s="15" t="d">
        <x:v>2026-08-28T00:00:00.000Z</x:v>
      </x:c>
      <x:c r="H118" s="2" t="str">
        <x:v>evidencias/FAC-1-0030-aceptacion_sii.pdf</x:v>
      </x:c>
    </x:row>
    <x:row r="119">
      <x:c r="A119" s="2" t="str">
        <x:v>CHK-00118</x:v>
      </x:c>
      <x:c r="B119" s="2" t="str">
        <x:v>FAC-1-0030</x:v>
      </x:c>
      <x:c r="C119" s="2" t="str">
        <x:v>76123456-0</x:v>
      </x:c>
      <x:c r="D119" s="2" t="str">
        <x:v>orden_compra</x:v>
      </x:c>
      <x:c r="E119" s="2" t="str">
        <x:v>cumplido</x:v>
      </x:c>
      <x:c r="F119" s="2" t="str">
        <x:v>pagador</x:v>
      </x:c>
      <x:c r="G119" s="15" t="d">
        <x:v>2026-08-28T00:00:00.000Z</x:v>
      </x:c>
      <x:c r="H119" s="2" t="str">
        <x:v>evidencias/FAC-1-0030-orden_compra.pdf</x:v>
      </x:c>
    </x:row>
    <x:row r="120">
      <x:c r="A120" s="2" t="str">
        <x:v>CHK-00119</x:v>
      </x:c>
      <x:c r="B120" s="2" t="str">
        <x:v>FAC-1-0030</x:v>
      </x:c>
      <x:c r="C120" s="2" t="str">
        <x:v>76123456-0</x:v>
      </x:c>
      <x:c r="D120" s="2" t="str">
        <x:v>hes_conformidad</x:v>
      </x:c>
      <x:c r="E120" s="2" t="str">
        <x:v>no_aplica</x:v>
      </x:c>
      <x:c r="F120" s="2" t="str">
        <x:v>sistema</x:v>
      </x:c>
      <x:c r="G120" s="15" t="d">
        <x:v>2026-08-28T00:00:00.000Z</x:v>
      </x:c>
      <x:c r="H120" s="2" t="str"/>
    </x:row>
    <x:row r="121">
      <x:c r="A121" s="2" t="str">
        <x:v>CHK-00120</x:v>
      </x:c>
      <x:c r="B121" s="2" t="str">
        <x:v>FAC-1-0030</x:v>
      </x:c>
      <x:c r="C121" s="2" t="str">
        <x:v>76123456-0</x:v>
      </x:c>
      <x:c r="D121" s="2" t="str">
        <x:v>portal_proveedor</x:v>
      </x:c>
      <x:c r="E121" s="2" t="str">
        <x:v>no_aplica</x:v>
      </x:c>
      <x:c r="F121" s="2" t="str">
        <x:v>sistema</x:v>
      </x:c>
      <x:c r="G121" s="15" t="d">
        <x:v>2026-08-28T00:00:00.000Z</x:v>
      </x:c>
      <x:c r="H121" s="2" t="str"/>
    </x:row>
    <x:row r="122">
      <x:c r="A122" s="2" t="str">
        <x:v>CHK-00121</x:v>
      </x:c>
      <x:c r="B122" s="2" t="str">
        <x:v>FAC-1-0031</x:v>
      </x:c>
      <x:c r="C122" s="2" t="str">
        <x:v>76123456-0</x:v>
      </x:c>
      <x:c r="D122" s="2" t="str">
        <x:v>aceptacion_sii</x:v>
      </x:c>
      <x:c r="E122" s="2" t="str">
        <x:v>cumplido</x:v>
      </x:c>
      <x:c r="F122" s="2" t="str">
        <x:v>operador</x:v>
      </x:c>
      <x:c r="G122" s="15" t="d">
        <x:v>2026-10-11T00:00:00.000Z</x:v>
      </x:c>
      <x:c r="H122" s="2" t="str">
        <x:v>evidencias/FAC-1-0031-aceptacion_sii.pdf</x:v>
      </x:c>
    </x:row>
    <x:row r="123">
      <x:c r="A123" s="2" t="str">
        <x:v>CHK-00122</x:v>
      </x:c>
      <x:c r="B123" s="2" t="str">
        <x:v>FAC-1-0031</x:v>
      </x:c>
      <x:c r="C123" s="2" t="str">
        <x:v>76123456-0</x:v>
      </x:c>
      <x:c r="D123" s="2" t="str">
        <x:v>orden_compra</x:v>
      </x:c>
      <x:c r="E123" s="2" t="str">
        <x:v>cumplido</x:v>
      </x:c>
      <x:c r="F123" s="2" t="str">
        <x:v>pagador</x:v>
      </x:c>
      <x:c r="G123" s="15" t="d">
        <x:v>2026-10-11T00:00:00.000Z</x:v>
      </x:c>
      <x:c r="H123" s="2" t="str">
        <x:v>evidencias/FAC-1-0031-orden_compra.pdf</x:v>
      </x:c>
    </x:row>
    <x:row r="124">
      <x:c r="A124" s="2" t="str">
        <x:v>CHK-00123</x:v>
      </x:c>
      <x:c r="B124" s="2" t="str">
        <x:v>FAC-1-0031</x:v>
      </x:c>
      <x:c r="C124" s="2" t="str">
        <x:v>76123456-0</x:v>
      </x:c>
      <x:c r="D124" s="2" t="str">
        <x:v>hes_conformidad</x:v>
      </x:c>
      <x:c r="E124" s="2" t="str">
        <x:v>cumplido</x:v>
      </x:c>
      <x:c r="F124" s="2" t="str">
        <x:v>pagador</x:v>
      </x:c>
      <x:c r="G124" s="15" t="d">
        <x:v>2026-10-11T00:00:00.000Z</x:v>
      </x:c>
      <x:c r="H124" s="2" t="str">
        <x:v>evidencias/FAC-1-0031-hes_conformidad.pdf</x:v>
      </x:c>
    </x:row>
    <x:row r="125">
      <x:c r="A125" s="2" t="str">
        <x:v>CHK-00124</x:v>
      </x:c>
      <x:c r="B125" s="2" t="str">
        <x:v>FAC-1-0031</x:v>
      </x:c>
      <x:c r="C125" s="2" t="str">
        <x:v>76123456-0</x:v>
      </x:c>
      <x:c r="D125" s="2" t="str">
        <x:v>portal_proveedor</x:v>
      </x:c>
      <x:c r="E125" s="2" t="str">
        <x:v>cumplido</x:v>
      </x:c>
      <x:c r="F125" s="2" t="str">
        <x:v>operador</x:v>
      </x:c>
      <x:c r="G125" s="15" t="d">
        <x:v>2026-10-11T00:00:00.000Z</x:v>
      </x:c>
      <x:c r="H125" s="2" t="str">
        <x:v>evidencias/FAC-1-0031-portal_proveedor.pdf</x:v>
      </x:c>
    </x:row>
    <x:row r="126">
      <x:c r="A126" s="2" t="str">
        <x:v>CHK-00125</x:v>
      </x:c>
      <x:c r="B126" s="2" t="str">
        <x:v>FAC-1-0032</x:v>
      </x:c>
      <x:c r="C126" s="2" t="str">
        <x:v>76123456-0</x:v>
      </x:c>
      <x:c r="D126" s="2" t="str">
        <x:v>aceptacion_sii</x:v>
      </x:c>
      <x:c r="E126" s="2" t="str">
        <x:v>cumplido</x:v>
      </x:c>
      <x:c r="F126" s="2" t="str">
        <x:v>operador</x:v>
      </x:c>
      <x:c r="G126" s="15" t="d">
        <x:v>2026-09-05T00:00:00.000Z</x:v>
      </x:c>
      <x:c r="H126" s="2" t="str">
        <x:v>evidencias/FAC-1-0032-aceptacion_sii.pdf</x:v>
      </x:c>
    </x:row>
    <x:row r="127">
      <x:c r="A127" s="2" t="str">
        <x:v>CHK-00126</x:v>
      </x:c>
      <x:c r="B127" s="2" t="str">
        <x:v>FAC-1-0032</x:v>
      </x:c>
      <x:c r="C127" s="2" t="str">
        <x:v>76123456-0</x:v>
      </x:c>
      <x:c r="D127" s="2" t="str">
        <x:v>orden_compra</x:v>
      </x:c>
      <x:c r="E127" s="2" t="str">
        <x:v>cumplido</x:v>
      </x:c>
      <x:c r="F127" s="2" t="str">
        <x:v>pagador</x:v>
      </x:c>
      <x:c r="G127" s="15" t="d">
        <x:v>2026-09-05T00:00:00.000Z</x:v>
      </x:c>
      <x:c r="H127" s="2" t="str">
        <x:v>evidencias/FAC-1-0032-orden_compra.pdf</x:v>
      </x:c>
    </x:row>
    <x:row r="128">
      <x:c r="A128" s="2" t="str">
        <x:v>CHK-00127</x:v>
      </x:c>
      <x:c r="B128" s="2" t="str">
        <x:v>FAC-1-0032</x:v>
      </x:c>
      <x:c r="C128" s="2" t="str">
        <x:v>76123456-0</x:v>
      </x:c>
      <x:c r="D128" s="2" t="str">
        <x:v>hes_conformidad</x:v>
      </x:c>
      <x:c r="E128" s="2" t="str">
        <x:v>no_aplica</x:v>
      </x:c>
      <x:c r="F128" s="2" t="str">
        <x:v>sistema</x:v>
      </x:c>
      <x:c r="G128" s="15" t="d">
        <x:v>2026-09-05T00:00:00.000Z</x:v>
      </x:c>
      <x:c r="H128" s="2" t="str"/>
    </x:row>
    <x:row r="129">
      <x:c r="A129" s="2" t="str">
        <x:v>CHK-00128</x:v>
      </x:c>
      <x:c r="B129" s="2" t="str">
        <x:v>FAC-1-0032</x:v>
      </x:c>
      <x:c r="C129" s="2" t="str">
        <x:v>76123456-0</x:v>
      </x:c>
      <x:c r="D129" s="2" t="str">
        <x:v>portal_proveedor</x:v>
      </x:c>
      <x:c r="E129" s="2" t="str">
        <x:v>cumplido</x:v>
      </x:c>
      <x:c r="F129" s="2" t="str">
        <x:v>operador</x:v>
      </x:c>
      <x:c r="G129" s="15" t="d">
        <x:v>2026-09-05T00:00:00.000Z</x:v>
      </x:c>
      <x:c r="H129" s="2" t="str">
        <x:v>evidencias/FAC-1-0032-portal_proveedor.pdf</x:v>
      </x:c>
    </x:row>
    <x:row r="130">
      <x:c r="A130" s="2" t="str">
        <x:v>CHK-00129</x:v>
      </x:c>
      <x:c r="B130" s="2" t="str">
        <x:v>FAC-1-0033</x:v>
      </x:c>
      <x:c r="C130" s="2" t="str">
        <x:v>76123456-0</x:v>
      </x:c>
      <x:c r="D130" s="2" t="str">
        <x:v>aceptacion_sii</x:v>
      </x:c>
      <x:c r="E130" s="2" t="str">
        <x:v>cumplido</x:v>
      </x:c>
      <x:c r="F130" s="2" t="str">
        <x:v>operador</x:v>
      </x:c>
      <x:c r="G130" s="15" t="d">
        <x:v>2026-09-06T00:00:00.000Z</x:v>
      </x:c>
      <x:c r="H130" s="2" t="str">
        <x:v>evidencias/FAC-1-0033-aceptacion_sii.pdf</x:v>
      </x:c>
    </x:row>
    <x:row r="131">
      <x:c r="A131" s="2" t="str">
        <x:v>CHK-00130</x:v>
      </x:c>
      <x:c r="B131" s="2" t="str">
        <x:v>FAC-1-0033</x:v>
      </x:c>
      <x:c r="C131" s="2" t="str">
        <x:v>76123456-0</x:v>
      </x:c>
      <x:c r="D131" s="2" t="str">
        <x:v>orden_compra</x:v>
      </x:c>
      <x:c r="E131" s="2" t="str">
        <x:v>cumplido</x:v>
      </x:c>
      <x:c r="F131" s="2" t="str">
        <x:v>pagador</x:v>
      </x:c>
      <x:c r="G131" s="15" t="d">
        <x:v>2026-09-06T00:00:00.000Z</x:v>
      </x:c>
      <x:c r="H131" s="2" t="str">
        <x:v>evidencias/FAC-1-0033-orden_compra.pdf</x:v>
      </x:c>
    </x:row>
    <x:row r="132">
      <x:c r="A132" s="2" t="str">
        <x:v>CHK-00131</x:v>
      </x:c>
      <x:c r="B132" s="2" t="str">
        <x:v>FAC-1-0033</x:v>
      </x:c>
      <x:c r="C132" s="2" t="str">
        <x:v>76123456-0</x:v>
      </x:c>
      <x:c r="D132" s="2" t="str">
        <x:v>hes_conformidad</x:v>
      </x:c>
      <x:c r="E132" s="2" t="str">
        <x:v>cumplido</x:v>
      </x:c>
      <x:c r="F132" s="2" t="str">
        <x:v>pagador</x:v>
      </x:c>
      <x:c r="G132" s="15" t="d">
        <x:v>2026-09-06T00:00:00.000Z</x:v>
      </x:c>
      <x:c r="H132" s="2" t="str">
        <x:v>evidencias/FAC-1-0033-hes_conformidad.pdf</x:v>
      </x:c>
    </x:row>
    <x:row r="133">
      <x:c r="A133" s="2" t="str">
        <x:v>CHK-00132</x:v>
      </x:c>
      <x:c r="B133" s="2" t="str">
        <x:v>FAC-1-0033</x:v>
      </x:c>
      <x:c r="C133" s="2" t="str">
        <x:v>76123456-0</x:v>
      </x:c>
      <x:c r="D133" s="2" t="str">
        <x:v>portal_proveedor</x:v>
      </x:c>
      <x:c r="E133" s="2" t="str">
        <x:v>pendiente</x:v>
      </x:c>
      <x:c r="F133" s="2" t="str">
        <x:v>operador</x:v>
      </x:c>
      <x:c r="G133" s="15" t="d">
        <x:v>2026-09-06T00:00:00.000Z</x:v>
      </x:c>
      <x:c r="H133" s="2" t="str"/>
    </x:row>
    <x:row r="134">
      <x:c r="A134" s="2" t="str">
        <x:v>CHK-00133</x:v>
      </x:c>
      <x:c r="B134" s="2" t="str">
        <x:v>FAC-1-0034</x:v>
      </x:c>
      <x:c r="C134" s="2" t="str">
        <x:v>76123456-0</x:v>
      </x:c>
      <x:c r="D134" s="2" t="str">
        <x:v>aceptacion_sii</x:v>
      </x:c>
      <x:c r="E134" s="2" t="str">
        <x:v>cumplido</x:v>
      </x:c>
      <x:c r="F134" s="2" t="str">
        <x:v>operador</x:v>
      </x:c>
      <x:c r="G134" s="15" t="d">
        <x:v>2026-09-09T00:00:00.000Z</x:v>
      </x:c>
      <x:c r="H134" s="2" t="str">
        <x:v>evidencias/FAC-1-0034-aceptacion_sii.pdf</x:v>
      </x:c>
    </x:row>
    <x:row r="135">
      <x:c r="A135" s="2" t="str">
        <x:v>CHK-00134</x:v>
      </x:c>
      <x:c r="B135" s="2" t="str">
        <x:v>FAC-1-0034</x:v>
      </x:c>
      <x:c r="C135" s="2" t="str">
        <x:v>76123456-0</x:v>
      </x:c>
      <x:c r="D135" s="2" t="str">
        <x:v>orden_compra</x:v>
      </x:c>
      <x:c r="E135" s="2" t="str">
        <x:v>pendiente</x:v>
      </x:c>
      <x:c r="F135" s="2" t="str">
        <x:v>pagador</x:v>
      </x:c>
      <x:c r="G135" s="15" t="d">
        <x:v>2026-09-09T00:00:00.000Z</x:v>
      </x:c>
      <x:c r="H135" s="2" t="str"/>
    </x:row>
    <x:row r="136">
      <x:c r="A136" s="2" t="str">
        <x:v>CHK-00135</x:v>
      </x:c>
      <x:c r="B136" s="2" t="str">
        <x:v>FAC-1-0034</x:v>
      </x:c>
      <x:c r="C136" s="2" t="str">
        <x:v>76123456-0</x:v>
      </x:c>
      <x:c r="D136" s="2" t="str">
        <x:v>hes_conformidad</x:v>
      </x:c>
      <x:c r="E136" s="2" t="str">
        <x:v>cumplido</x:v>
      </x:c>
      <x:c r="F136" s="2" t="str">
        <x:v>pagador</x:v>
      </x:c>
      <x:c r="G136" s="15" t="d">
        <x:v>2026-09-09T00:00:00.000Z</x:v>
      </x:c>
      <x:c r="H136" s="2" t="str">
        <x:v>evidencias/FAC-1-0034-hes_conformidad.pdf</x:v>
      </x:c>
    </x:row>
    <x:row r="137">
      <x:c r="A137" s="2" t="str">
        <x:v>CHK-00136</x:v>
      </x:c>
      <x:c r="B137" s="2" t="str">
        <x:v>FAC-1-0034</x:v>
      </x:c>
      <x:c r="C137" s="2" t="str">
        <x:v>76123456-0</x:v>
      </x:c>
      <x:c r="D137" s="2" t="str">
        <x:v>portal_proveedor</x:v>
      </x:c>
      <x:c r="E137" s="2" t="str">
        <x:v>no_aplica</x:v>
      </x:c>
      <x:c r="F137" s="2" t="str">
        <x:v>sistema</x:v>
      </x:c>
      <x:c r="G137" s="15" t="d">
        <x:v>2026-09-09T00:00:00.000Z</x:v>
      </x:c>
      <x:c r="H137" s="2" t="str"/>
    </x:row>
    <x:row r="138">
      <x:c r="A138" s="2" t="str">
        <x:v>CHK-00137</x:v>
      </x:c>
      <x:c r="B138" s="2" t="str">
        <x:v>FAC-1-0035</x:v>
      </x:c>
      <x:c r="C138" s="2" t="str">
        <x:v>76123456-0</x:v>
      </x:c>
      <x:c r="D138" s="2" t="str">
        <x:v>aceptacion_sii</x:v>
      </x:c>
      <x:c r="E138" s="2" t="str">
        <x:v>cumplido</x:v>
      </x:c>
      <x:c r="F138" s="2" t="str">
        <x:v>operador</x:v>
      </x:c>
      <x:c r="G138" s="15" t="d">
        <x:v>2026-09-12T00:00:00.000Z</x:v>
      </x:c>
      <x:c r="H138" s="2" t="str">
        <x:v>evidencias/FAC-1-0035-aceptacion_sii.pdf</x:v>
      </x:c>
    </x:row>
    <x:row r="139">
      <x:c r="A139" s="2" t="str">
        <x:v>CHK-00138</x:v>
      </x:c>
      <x:c r="B139" s="2" t="str">
        <x:v>FAC-1-0035</x:v>
      </x:c>
      <x:c r="C139" s="2" t="str">
        <x:v>76123456-0</x:v>
      </x:c>
      <x:c r="D139" s="2" t="str">
        <x:v>orden_compra</x:v>
      </x:c>
      <x:c r="E139" s="2" t="str">
        <x:v>cumplido</x:v>
      </x:c>
      <x:c r="F139" s="2" t="str">
        <x:v>pagador</x:v>
      </x:c>
      <x:c r="G139" s="15" t="d">
        <x:v>2026-09-12T00:00:00.000Z</x:v>
      </x:c>
      <x:c r="H139" s="2" t="str">
        <x:v>evidencias/FAC-1-0035-orden_compra.pdf</x:v>
      </x:c>
    </x:row>
    <x:row r="140">
      <x:c r="A140" s="2" t="str">
        <x:v>CHK-00139</x:v>
      </x:c>
      <x:c r="B140" s="2" t="str">
        <x:v>FAC-1-0035</x:v>
      </x:c>
      <x:c r="C140" s="2" t="str">
        <x:v>76123456-0</x:v>
      </x:c>
      <x:c r="D140" s="2" t="str">
        <x:v>hes_conformidad</x:v>
      </x:c>
      <x:c r="E140" s="2" t="str">
        <x:v>no_aplica</x:v>
      </x:c>
      <x:c r="F140" s="2" t="str">
        <x:v>sistema</x:v>
      </x:c>
      <x:c r="G140" s="15" t="d">
        <x:v>2026-09-12T00:00:00.000Z</x:v>
      </x:c>
      <x:c r="H140" s="2" t="str"/>
    </x:row>
    <x:row r="141">
      <x:c r="A141" s="2" t="str">
        <x:v>CHK-00140</x:v>
      </x:c>
      <x:c r="B141" s="2" t="str">
        <x:v>FAC-1-0035</x:v>
      </x:c>
      <x:c r="C141" s="2" t="str">
        <x:v>76123456-0</x:v>
      </x:c>
      <x:c r="D141" s="2" t="str">
        <x:v>portal_proveedor</x:v>
      </x:c>
      <x:c r="E141" s="2" t="str">
        <x:v>no_aplica</x:v>
      </x:c>
      <x:c r="F141" s="2" t="str">
        <x:v>sistema</x:v>
      </x:c>
      <x:c r="G141" s="15" t="d">
        <x:v>2026-09-12T00:00:00.000Z</x:v>
      </x:c>
      <x:c r="H141" s="2" t="str"/>
    </x:row>
    <x:row r="142">
      <x:c r="A142" s="2" t="str">
        <x:v>CHK-00141</x:v>
      </x:c>
      <x:c r="B142" s="2" t="str">
        <x:v>FAC-1-0036</x:v>
      </x:c>
      <x:c r="C142" s="2" t="str">
        <x:v>76123456-0</x:v>
      </x:c>
      <x:c r="D142" s="2" t="str">
        <x:v>aceptacion_sii</x:v>
      </x:c>
      <x:c r="E142" s="2" t="str">
        <x:v>reclamado</x:v>
      </x:c>
      <x:c r="F142" s="2" t="str">
        <x:v>operador</x:v>
      </x:c>
      <x:c r="G142" s="15" t="d">
        <x:v>2026-09-17T00:00:00.000Z</x:v>
      </x:c>
      <x:c r="H142" s="2" t="str"/>
    </x:row>
    <x:row r="143">
      <x:c r="A143" s="2" t="str">
        <x:v>CHK-00142</x:v>
      </x:c>
      <x:c r="B143" s="2" t="str">
        <x:v>FAC-1-0036</x:v>
      </x:c>
      <x:c r="C143" s="2" t="str">
        <x:v>76123456-0</x:v>
      </x:c>
      <x:c r="D143" s="2" t="str">
        <x:v>orden_compra</x:v>
      </x:c>
      <x:c r="E143" s="2" t="str">
        <x:v>cumplido</x:v>
      </x:c>
      <x:c r="F143" s="2" t="str">
        <x:v>pagador</x:v>
      </x:c>
      <x:c r="G143" s="15" t="d">
        <x:v>2026-09-17T00:00:00.000Z</x:v>
      </x:c>
      <x:c r="H143" s="2" t="str">
        <x:v>evidencias/FAC-1-0036-orden_compra.pdf</x:v>
      </x:c>
    </x:row>
    <x:row r="144">
      <x:c r="A144" s="2" t="str">
        <x:v>CHK-00143</x:v>
      </x:c>
      <x:c r="B144" s="2" t="str">
        <x:v>FAC-1-0036</x:v>
      </x:c>
      <x:c r="C144" s="2" t="str">
        <x:v>76123456-0</x:v>
      </x:c>
      <x:c r="D144" s="2" t="str">
        <x:v>hes_conformidad</x:v>
      </x:c>
      <x:c r="E144" s="2" t="str">
        <x:v>cumplido</x:v>
      </x:c>
      <x:c r="F144" s="2" t="str">
        <x:v>pagador</x:v>
      </x:c>
      <x:c r="G144" s="15" t="d">
        <x:v>2026-09-17T00:00:00.000Z</x:v>
      </x:c>
      <x:c r="H144" s="2" t="str">
        <x:v>evidencias/FAC-1-0036-hes_conformidad.pdf</x:v>
      </x:c>
    </x:row>
    <x:row r="145">
      <x:c r="A145" s="2" t="str">
        <x:v>CHK-00144</x:v>
      </x:c>
      <x:c r="B145" s="2" t="str">
        <x:v>FAC-1-0036</x:v>
      </x:c>
      <x:c r="C145" s="2" t="str">
        <x:v>76123456-0</x:v>
      </x:c>
      <x:c r="D145" s="2" t="str">
        <x:v>portal_proveedor</x:v>
      </x:c>
      <x:c r="E145" s="2" t="str">
        <x:v>cumplido</x:v>
      </x:c>
      <x:c r="F145" s="2" t="str">
        <x:v>operador</x:v>
      </x:c>
      <x:c r="G145" s="15" t="d">
        <x:v>2026-09-17T00:00:00.000Z</x:v>
      </x:c>
      <x:c r="H145" s="2" t="str">
        <x:v>evidencias/FAC-1-0036-portal_proveedor.pdf</x:v>
      </x:c>
    </x:row>
    <x:row r="146">
      <x:c r="A146" s="2" t="str">
        <x:v>CHK-00145</x:v>
      </x:c>
      <x:c r="B146" s="2" t="str">
        <x:v>FAC-1-0037</x:v>
      </x:c>
      <x:c r="C146" s="2" t="str">
        <x:v>76123456-0</x:v>
      </x:c>
      <x:c r="D146" s="2" t="str">
        <x:v>aceptacion_sii</x:v>
      </x:c>
      <x:c r="E146" s="2" t="str">
        <x:v>cumplido</x:v>
      </x:c>
      <x:c r="F146" s="2" t="str">
        <x:v>operador</x:v>
      </x:c>
      <x:c r="G146" s="15" t="d">
        <x:v>2026-09-20T00:00:00.000Z</x:v>
      </x:c>
      <x:c r="H146" s="2" t="str">
        <x:v>evidencias/FAC-1-0037-aceptacion_sii.pdf</x:v>
      </x:c>
    </x:row>
    <x:row r="147">
      <x:c r="A147" s="2" t="str">
        <x:v>CHK-00146</x:v>
      </x:c>
      <x:c r="B147" s="2" t="str">
        <x:v>FAC-1-0037</x:v>
      </x:c>
      <x:c r="C147" s="2" t="str">
        <x:v>76123456-0</x:v>
      </x:c>
      <x:c r="D147" s="2" t="str">
        <x:v>orden_compra</x:v>
      </x:c>
      <x:c r="E147" s="2" t="str">
        <x:v>cumplido</x:v>
      </x:c>
      <x:c r="F147" s="2" t="str">
        <x:v>pagador</x:v>
      </x:c>
      <x:c r="G147" s="15" t="d">
        <x:v>2026-09-20T00:00:00.000Z</x:v>
      </x:c>
      <x:c r="H147" s="2" t="str">
        <x:v>evidencias/FAC-1-0037-orden_compra.pdf</x:v>
      </x:c>
    </x:row>
    <x:row r="148">
      <x:c r="A148" s="2" t="str">
        <x:v>CHK-00147</x:v>
      </x:c>
      <x:c r="B148" s="2" t="str">
        <x:v>FAC-1-0037</x:v>
      </x:c>
      <x:c r="C148" s="2" t="str">
        <x:v>76123456-0</x:v>
      </x:c>
      <x:c r="D148" s="2" t="str">
        <x:v>hes_conformidad</x:v>
      </x:c>
      <x:c r="E148" s="2" t="str">
        <x:v>no_aplica</x:v>
      </x:c>
      <x:c r="F148" s="2" t="str">
        <x:v>sistema</x:v>
      </x:c>
      <x:c r="G148" s="15" t="d">
        <x:v>2026-09-20T00:00:00.000Z</x:v>
      </x:c>
      <x:c r="H148" s="2" t="str"/>
    </x:row>
    <x:row r="149">
      <x:c r="A149" s="2" t="str">
        <x:v>CHK-00148</x:v>
      </x:c>
      <x:c r="B149" s="2" t="str">
        <x:v>FAC-1-0037</x:v>
      </x:c>
      <x:c r="C149" s="2" t="str">
        <x:v>76123456-0</x:v>
      </x:c>
      <x:c r="D149" s="2" t="str">
        <x:v>portal_proveedor</x:v>
      </x:c>
      <x:c r="E149" s="2" t="str">
        <x:v>cumplido</x:v>
      </x:c>
      <x:c r="F149" s="2" t="str">
        <x:v>operador</x:v>
      </x:c>
      <x:c r="G149" s="15" t="d">
        <x:v>2026-09-20T00:00:00.000Z</x:v>
      </x:c>
      <x:c r="H149" s="2" t="str">
        <x:v>evidencias/FAC-1-0037-portal_proveedor.pdf</x:v>
      </x:c>
    </x:row>
    <x:row r="150">
      <x:c r="A150" s="2" t="str">
        <x:v>CHK-00149</x:v>
      </x:c>
      <x:c r="B150" s="2" t="str">
        <x:v>FAC-1-0038</x:v>
      </x:c>
      <x:c r="C150" s="2" t="str">
        <x:v>76123456-0</x:v>
      </x:c>
      <x:c r="D150" s="2" t="str">
        <x:v>aceptacion_sii</x:v>
      </x:c>
      <x:c r="E150" s="2" t="str">
        <x:v>cumplido</x:v>
      </x:c>
      <x:c r="F150" s="2" t="str">
        <x:v>operador</x:v>
      </x:c>
      <x:c r="G150" s="15" t="d">
        <x:v>2026-09-23T00:00:00.000Z</x:v>
      </x:c>
      <x:c r="H150" s="2" t="str">
        <x:v>evidencias/FAC-1-0038-aceptacion_sii.pdf</x:v>
      </x:c>
    </x:row>
    <x:row r="151">
      <x:c r="A151" s="2" t="str">
        <x:v>CHK-00150</x:v>
      </x:c>
      <x:c r="B151" s="2" t="str">
        <x:v>FAC-1-0038</x:v>
      </x:c>
      <x:c r="C151" s="2" t="str">
        <x:v>76123456-0</x:v>
      </x:c>
      <x:c r="D151" s="2" t="str">
        <x:v>orden_compra</x:v>
      </x:c>
      <x:c r="E151" s="2" t="str">
        <x:v>cumplido</x:v>
      </x:c>
      <x:c r="F151" s="2" t="str">
        <x:v>pagador</x:v>
      </x:c>
      <x:c r="G151" s="15" t="d">
        <x:v>2026-09-23T00:00:00.000Z</x:v>
      </x:c>
      <x:c r="H151" s="2" t="str">
        <x:v>evidencias/FAC-1-0038-orden_compra.pdf</x:v>
      </x:c>
    </x:row>
    <x:row r="152">
      <x:c r="A152" s="2" t="str">
        <x:v>CHK-00151</x:v>
      </x:c>
      <x:c r="B152" s="2" t="str">
        <x:v>FAC-1-0038</x:v>
      </x:c>
      <x:c r="C152" s="2" t="str">
        <x:v>76123456-0</x:v>
      </x:c>
      <x:c r="D152" s="2" t="str">
        <x:v>hes_conformidad</x:v>
      </x:c>
      <x:c r="E152" s="2" t="str">
        <x:v>cumplido</x:v>
      </x:c>
      <x:c r="F152" s="2" t="str">
        <x:v>pagador</x:v>
      </x:c>
      <x:c r="G152" s="15" t="d">
        <x:v>2026-09-23T00:00:00.000Z</x:v>
      </x:c>
      <x:c r="H152" s="2" t="str">
        <x:v>evidencias/FAC-1-0038-hes_conformidad.pdf</x:v>
      </x:c>
    </x:row>
    <x:row r="153">
      <x:c r="A153" s="2" t="str">
        <x:v>CHK-00152</x:v>
      </x:c>
      <x:c r="B153" s="2" t="str">
        <x:v>FAC-1-0038</x:v>
      </x:c>
      <x:c r="C153" s="2" t="str">
        <x:v>76123456-0</x:v>
      </x:c>
      <x:c r="D153" s="2" t="str">
        <x:v>portal_proveedor</x:v>
      </x:c>
      <x:c r="E153" s="2" t="str">
        <x:v>cumplido</x:v>
      </x:c>
      <x:c r="F153" s="2" t="str">
        <x:v>operador</x:v>
      </x:c>
      <x:c r="G153" s="15" t="d">
        <x:v>2026-09-23T00:00:00.000Z</x:v>
      </x:c>
      <x:c r="H153" s="2" t="str">
        <x:v>evidencias/FAC-1-0038-portal_proveedor.pdf</x:v>
      </x:c>
    </x:row>
    <x:row r="154">
      <x:c r="A154" s="2" t="str">
        <x:v>CHK-00153</x:v>
      </x:c>
      <x:c r="B154" s="2" t="str">
        <x:v>FAC-1-0039</x:v>
      </x:c>
      <x:c r="C154" s="2" t="str">
        <x:v>76123456-0</x:v>
      </x:c>
      <x:c r="D154" s="2" t="str">
        <x:v>aceptacion_sii</x:v>
      </x:c>
      <x:c r="E154" s="2" t="str">
        <x:v>cumplido</x:v>
      </x:c>
      <x:c r="F154" s="2" t="str">
        <x:v>operador</x:v>
      </x:c>
      <x:c r="G154" s="15" t="d">
        <x:v>2026-09-24T00:00:00.000Z</x:v>
      </x:c>
      <x:c r="H154" s="2" t="str">
        <x:v>evidencias/FAC-1-0039-aceptacion_sii.pdf</x:v>
      </x:c>
    </x:row>
    <x:row r="155">
      <x:c r="A155" s="2" t="str">
        <x:v>CHK-00154</x:v>
      </x:c>
      <x:c r="B155" s="2" t="str">
        <x:v>FAC-1-0039</x:v>
      </x:c>
      <x:c r="C155" s="2" t="str">
        <x:v>76123456-0</x:v>
      </x:c>
      <x:c r="D155" s="2" t="str">
        <x:v>orden_compra</x:v>
      </x:c>
      <x:c r="E155" s="2" t="str">
        <x:v>cumplido</x:v>
      </x:c>
      <x:c r="F155" s="2" t="str">
        <x:v>pagador</x:v>
      </x:c>
      <x:c r="G155" s="15" t="d">
        <x:v>2026-09-24T00:00:00.000Z</x:v>
      </x:c>
      <x:c r="H155" s="2" t="str">
        <x:v>evidencias/FAC-1-0039-orden_compra.pdf</x:v>
      </x:c>
    </x:row>
    <x:row r="156">
      <x:c r="A156" s="2" t="str">
        <x:v>CHK-00155</x:v>
      </x:c>
      <x:c r="B156" s="2" t="str">
        <x:v>FAC-1-0039</x:v>
      </x:c>
      <x:c r="C156" s="2" t="str">
        <x:v>76123456-0</x:v>
      </x:c>
      <x:c r="D156" s="2" t="str">
        <x:v>hes_conformidad</x:v>
      </x:c>
      <x:c r="E156" s="2" t="str">
        <x:v>cumplido</x:v>
      </x:c>
      <x:c r="F156" s="2" t="str">
        <x:v>pagador</x:v>
      </x:c>
      <x:c r="G156" s="15" t="d">
        <x:v>2026-09-24T00:00:00.000Z</x:v>
      </x:c>
      <x:c r="H156" s="2" t="str">
        <x:v>evidencias/FAC-1-0039-hes_conformidad.pdf</x:v>
      </x:c>
    </x:row>
    <x:row r="157">
      <x:c r="A157" s="2" t="str">
        <x:v>CHK-00156</x:v>
      </x:c>
      <x:c r="B157" s="2" t="str">
        <x:v>FAC-1-0039</x:v>
      </x:c>
      <x:c r="C157" s="2" t="str">
        <x:v>76123456-0</x:v>
      </x:c>
      <x:c r="D157" s="2" t="str">
        <x:v>portal_proveedor</x:v>
      </x:c>
      <x:c r="E157" s="2" t="str">
        <x:v>no_aplica</x:v>
      </x:c>
      <x:c r="F157" s="2" t="str">
        <x:v>sistema</x:v>
      </x:c>
      <x:c r="G157" s="15" t="d">
        <x:v>2026-09-24T00:00:00.000Z</x:v>
      </x:c>
      <x:c r="H157" s="2" t="str"/>
    </x:row>
    <x:row r="158">
      <x:c r="A158" s="2" t="str">
        <x:v>CHK-00157</x:v>
      </x:c>
      <x:c r="B158" s="2" t="str">
        <x:v>FAC-1-0040</x:v>
      </x:c>
      <x:c r="C158" s="2" t="str">
        <x:v>76123456-0</x:v>
      </x:c>
      <x:c r="D158" s="2" t="str">
        <x:v>aceptacion_sii</x:v>
      </x:c>
      <x:c r="E158" s="2" t="str">
        <x:v>cumplido</x:v>
      </x:c>
      <x:c r="F158" s="2" t="str">
        <x:v>operador</x:v>
      </x:c>
      <x:c r="G158" s="15" t="d">
        <x:v>2026-09-27T00:00:00.000Z</x:v>
      </x:c>
      <x:c r="H158" s="2" t="str">
        <x:v>evidencias/FAC-1-0040-aceptacion_sii.pdf</x:v>
      </x:c>
    </x:row>
    <x:row r="159">
      <x:c r="A159" s="2" t="str">
        <x:v>CHK-00158</x:v>
      </x:c>
      <x:c r="B159" s="2" t="str">
        <x:v>FAC-1-0040</x:v>
      </x:c>
      <x:c r="C159" s="2" t="str">
        <x:v>76123456-0</x:v>
      </x:c>
      <x:c r="D159" s="2" t="str">
        <x:v>orden_compra</x:v>
      </x:c>
      <x:c r="E159" s="2" t="str">
        <x:v>cumplido</x:v>
      </x:c>
      <x:c r="F159" s="2" t="str">
        <x:v>pagador</x:v>
      </x:c>
      <x:c r="G159" s="15" t="d">
        <x:v>2026-09-27T00:00:00.000Z</x:v>
      </x:c>
      <x:c r="H159" s="2" t="str">
        <x:v>evidencias/FAC-1-0040-orden_compra.pdf</x:v>
      </x:c>
    </x:row>
    <x:row r="160">
      <x:c r="A160" s="2" t="str">
        <x:v>CHK-00159</x:v>
      </x:c>
      <x:c r="B160" s="2" t="str">
        <x:v>FAC-1-0040</x:v>
      </x:c>
      <x:c r="C160" s="2" t="str">
        <x:v>76123456-0</x:v>
      </x:c>
      <x:c r="D160" s="2" t="str">
        <x:v>hes_conformidad</x:v>
      </x:c>
      <x:c r="E160" s="2" t="str">
        <x:v>no_aplica</x:v>
      </x:c>
      <x:c r="F160" s="2" t="str">
        <x:v>sistema</x:v>
      </x:c>
      <x:c r="G160" s="15" t="d">
        <x:v>2026-09-27T00:00:00.000Z</x:v>
      </x:c>
      <x:c r="H160" s="2" t="str"/>
    </x:row>
    <x:row r="161">
      <x:c r="A161" s="2" t="str">
        <x:v>CHK-00160</x:v>
      </x:c>
      <x:c r="B161" s="2" t="str">
        <x:v>FAC-1-0040</x:v>
      </x:c>
      <x:c r="C161" s="2" t="str">
        <x:v>76123456-0</x:v>
      </x:c>
      <x:c r="D161" s="2" t="str">
        <x:v>portal_proveedor</x:v>
      </x:c>
      <x:c r="E161" s="2" t="str">
        <x:v>no_aplica</x:v>
      </x:c>
      <x:c r="F161" s="2" t="str">
        <x:v>sistema</x:v>
      </x:c>
      <x:c r="G161" s="15" t="d">
        <x:v>2026-09-27T00:00:00.000Z</x:v>
      </x:c>
      <x:c r="H161" s="2" t="str"/>
    </x:row>
    <x:row r="162">
      <x:c r="A162" s="2" t="str">
        <x:v>CHK-00161</x:v>
      </x:c>
      <x:c r="B162" s="2" t="str">
        <x:v>FAC-2-0001</x:v>
      </x:c>
      <x:c r="C162" s="2" t="str">
        <x:v>76543210-3</x:v>
      </x:c>
      <x:c r="D162" s="2" t="str">
        <x:v>aceptacion_sii</x:v>
      </x:c>
      <x:c r="E162" s="2" t="str">
        <x:v>cumplido</x:v>
      </x:c>
      <x:c r="F162" s="2" t="str">
        <x:v>operador</x:v>
      </x:c>
      <x:c r="G162" s="15" t="d">
        <x:v>2026-06-05T00:00:00.000Z</x:v>
      </x:c>
      <x:c r="H162" s="2" t="str">
        <x:v>evidencias/FAC-2-0001-aceptacion_sii.pdf</x:v>
      </x:c>
    </x:row>
    <x:row r="163">
      <x:c r="A163" s="2" t="str">
        <x:v>CHK-00162</x:v>
      </x:c>
      <x:c r="B163" s="2" t="str">
        <x:v>FAC-2-0001</x:v>
      </x:c>
      <x:c r="C163" s="2" t="str">
        <x:v>76543210-3</x:v>
      </x:c>
      <x:c r="D163" s="2" t="str">
        <x:v>orden_compra</x:v>
      </x:c>
      <x:c r="E163" s="2" t="str">
        <x:v>pendiente</x:v>
      </x:c>
      <x:c r="F163" s="2" t="str">
        <x:v>pagador</x:v>
      </x:c>
      <x:c r="G163" s="15" t="d">
        <x:v>2026-06-05T00:00:00.000Z</x:v>
      </x:c>
      <x:c r="H163" s="2" t="str"/>
    </x:row>
    <x:row r="164">
      <x:c r="A164" s="2" t="str">
        <x:v>CHK-00163</x:v>
      </x:c>
      <x:c r="B164" s="2" t="str">
        <x:v>FAC-2-0001</x:v>
      </x:c>
      <x:c r="C164" s="2" t="str">
        <x:v>76543210-3</x:v>
      </x:c>
      <x:c r="D164" s="2" t="str">
        <x:v>hes_conformidad</x:v>
      </x:c>
      <x:c r="E164" s="2" t="str">
        <x:v>cumplido</x:v>
      </x:c>
      <x:c r="F164" s="2" t="str">
        <x:v>pagador</x:v>
      </x:c>
      <x:c r="G164" s="15" t="d">
        <x:v>2026-06-05T00:00:00.000Z</x:v>
      </x:c>
      <x:c r="H164" s="2" t="str">
        <x:v>evidencias/FAC-2-0001-hes_conformidad.pdf</x:v>
      </x:c>
    </x:row>
    <x:row r="165">
      <x:c r="A165" s="2" t="str">
        <x:v>CHK-00164</x:v>
      </x:c>
      <x:c r="B165" s="2" t="str">
        <x:v>FAC-2-0001</x:v>
      </x:c>
      <x:c r="C165" s="2" t="str">
        <x:v>76543210-3</x:v>
      </x:c>
      <x:c r="D165" s="2" t="str">
        <x:v>portal_proveedor</x:v>
      </x:c>
      <x:c r="E165" s="2" t="str">
        <x:v>cumplido</x:v>
      </x:c>
      <x:c r="F165" s="2" t="str">
        <x:v>operador</x:v>
      </x:c>
      <x:c r="G165" s="15" t="d">
        <x:v>2026-06-05T00:00:00.000Z</x:v>
      </x:c>
      <x:c r="H165" s="2" t="str">
        <x:v>evidencias/FAC-2-0001-portal_proveedor.pdf</x:v>
      </x:c>
    </x:row>
    <x:row r="166">
      <x:c r="A166" s="2" t="str">
        <x:v>CHK-00165</x:v>
      </x:c>
      <x:c r="B166" s="2" t="str">
        <x:v>FAC-2-0002</x:v>
      </x:c>
      <x:c r="C166" s="2" t="str">
        <x:v>76543210-3</x:v>
      </x:c>
      <x:c r="D166" s="2" t="str">
        <x:v>aceptacion_sii</x:v>
      </x:c>
      <x:c r="E166" s="2" t="str">
        <x:v>cumplido</x:v>
      </x:c>
      <x:c r="F166" s="2" t="str">
        <x:v>operador</x:v>
      </x:c>
      <x:c r="G166" s="15" t="d">
        <x:v>2026-06-08T00:00:00.000Z</x:v>
      </x:c>
      <x:c r="H166" s="2" t="str">
        <x:v>evidencias/FAC-2-0002-aceptacion_sii.pdf</x:v>
      </x:c>
    </x:row>
    <x:row r="167">
      <x:c r="A167" s="2" t="str">
        <x:v>CHK-00166</x:v>
      </x:c>
      <x:c r="B167" s="2" t="str">
        <x:v>FAC-2-0002</x:v>
      </x:c>
      <x:c r="C167" s="2" t="str">
        <x:v>76543210-3</x:v>
      </x:c>
      <x:c r="D167" s="2" t="str">
        <x:v>orden_compra</x:v>
      </x:c>
      <x:c r="E167" s="2" t="str">
        <x:v>cumplido</x:v>
      </x:c>
      <x:c r="F167" s="2" t="str">
        <x:v>pagador</x:v>
      </x:c>
      <x:c r="G167" s="15" t="d">
        <x:v>2026-06-08T00:00:00.000Z</x:v>
      </x:c>
      <x:c r="H167" s="2" t="str">
        <x:v>evidencias/FAC-2-0002-orden_compra.pdf</x:v>
      </x:c>
    </x:row>
    <x:row r="168">
      <x:c r="A168" s="2" t="str">
        <x:v>CHK-00167</x:v>
      </x:c>
      <x:c r="B168" s="2" t="str">
        <x:v>FAC-2-0002</x:v>
      </x:c>
      <x:c r="C168" s="2" t="str">
        <x:v>76543210-3</x:v>
      </x:c>
      <x:c r="D168" s="2" t="str">
        <x:v>hes_conformidad</x:v>
      </x:c>
      <x:c r="E168" s="2" t="str">
        <x:v>cumplido</x:v>
      </x:c>
      <x:c r="F168" s="2" t="str">
        <x:v>pagador</x:v>
      </x:c>
      <x:c r="G168" s="15" t="d">
        <x:v>2026-06-08T00:00:00.000Z</x:v>
      </x:c>
      <x:c r="H168" s="2" t="str">
        <x:v>evidencias/FAC-2-0002-hes_conformidad.pdf</x:v>
      </x:c>
    </x:row>
    <x:row r="169">
      <x:c r="A169" s="2" t="str">
        <x:v>CHK-00168</x:v>
      </x:c>
      <x:c r="B169" s="2" t="str">
        <x:v>FAC-2-0002</x:v>
      </x:c>
      <x:c r="C169" s="2" t="str">
        <x:v>76543210-3</x:v>
      </x:c>
      <x:c r="D169" s="2" t="str">
        <x:v>portal_proveedor</x:v>
      </x:c>
      <x:c r="E169" s="2" t="str">
        <x:v>cumplido</x:v>
      </x:c>
      <x:c r="F169" s="2" t="str">
        <x:v>operador</x:v>
      </x:c>
      <x:c r="G169" s="15" t="d">
        <x:v>2026-06-08T00:00:00.000Z</x:v>
      </x:c>
      <x:c r="H169" s="2" t="str">
        <x:v>evidencias/FAC-2-0002-portal_proveedor.pdf</x:v>
      </x:c>
    </x:row>
    <x:row r="170">
      <x:c r="A170" s="2" t="str">
        <x:v>CHK-00169</x:v>
      </x:c>
      <x:c r="B170" s="2" t="str">
        <x:v>FAC-2-0003</x:v>
      </x:c>
      <x:c r="C170" s="2" t="str">
        <x:v>76543210-3</x:v>
      </x:c>
      <x:c r="D170" s="2" t="str">
        <x:v>aceptacion_sii</x:v>
      </x:c>
      <x:c r="E170" s="2" t="str">
        <x:v>reclamado</x:v>
      </x:c>
      <x:c r="F170" s="2" t="str">
        <x:v>operador</x:v>
      </x:c>
      <x:c r="G170" s="15" t="d">
        <x:v>2026-06-09T00:00:00.000Z</x:v>
      </x:c>
      <x:c r="H170" s="2" t="str"/>
    </x:row>
    <x:row r="171">
      <x:c r="A171" s="2" t="str">
        <x:v>CHK-00170</x:v>
      </x:c>
      <x:c r="B171" s="2" t="str">
        <x:v>FAC-2-0003</x:v>
      </x:c>
      <x:c r="C171" s="2" t="str">
        <x:v>76543210-3</x:v>
      </x:c>
      <x:c r="D171" s="2" t="str">
        <x:v>orden_compra</x:v>
      </x:c>
      <x:c r="E171" s="2" t="str">
        <x:v>cumplido</x:v>
      </x:c>
      <x:c r="F171" s="2" t="str">
        <x:v>pagador</x:v>
      </x:c>
      <x:c r="G171" s="15" t="d">
        <x:v>2026-06-09T00:00:00.000Z</x:v>
      </x:c>
      <x:c r="H171" s="2" t="str">
        <x:v>evidencias/FAC-2-0003-orden_compra.pdf</x:v>
      </x:c>
    </x:row>
    <x:row r="172">
      <x:c r="A172" s="2" t="str">
        <x:v>CHK-00171</x:v>
      </x:c>
      <x:c r="B172" s="2" t="str">
        <x:v>FAC-2-0003</x:v>
      </x:c>
      <x:c r="C172" s="2" t="str">
        <x:v>76543210-3</x:v>
      </x:c>
      <x:c r="D172" s="2" t="str">
        <x:v>hes_conformidad</x:v>
      </x:c>
      <x:c r="E172" s="2" t="str">
        <x:v>no_aplica</x:v>
      </x:c>
      <x:c r="F172" s="2" t="str">
        <x:v>sistema</x:v>
      </x:c>
      <x:c r="G172" s="15" t="d">
        <x:v>2026-06-09T00:00:00.000Z</x:v>
      </x:c>
      <x:c r="H172" s="2" t="str"/>
    </x:row>
    <x:row r="173">
      <x:c r="A173" s="2" t="str">
        <x:v>CHK-00172</x:v>
      </x:c>
      <x:c r="B173" s="2" t="str">
        <x:v>FAC-2-0003</x:v>
      </x:c>
      <x:c r="C173" s="2" t="str">
        <x:v>76543210-3</x:v>
      </x:c>
      <x:c r="D173" s="2" t="str">
        <x:v>portal_proveedor</x:v>
      </x:c>
      <x:c r="E173" s="2" t="str">
        <x:v>no_aplica</x:v>
      </x:c>
      <x:c r="F173" s="2" t="str">
        <x:v>sistema</x:v>
      </x:c>
      <x:c r="G173" s="15" t="d">
        <x:v>2026-06-09T00:00:00.000Z</x:v>
      </x:c>
      <x:c r="H173" s="2" t="str"/>
    </x:row>
    <x:row r="174">
      <x:c r="A174" s="2" t="str">
        <x:v>CHK-00173</x:v>
      </x:c>
      <x:c r="B174" s="2" t="str">
        <x:v>FAC-2-0004</x:v>
      </x:c>
      <x:c r="C174" s="2" t="str">
        <x:v>76543210-3</x:v>
      </x:c>
      <x:c r="D174" s="2" t="str">
        <x:v>aceptacion_sii</x:v>
      </x:c>
      <x:c r="E174" s="2" t="str">
        <x:v>cumplido</x:v>
      </x:c>
      <x:c r="F174" s="2" t="str">
        <x:v>operador</x:v>
      </x:c>
      <x:c r="G174" s="15" t="d">
        <x:v>2026-06-14T00:00:00.000Z</x:v>
      </x:c>
      <x:c r="H174" s="2" t="str">
        <x:v>evidencias/FAC-2-0004-aceptacion_sii.pdf</x:v>
      </x:c>
    </x:row>
    <x:row r="175">
      <x:c r="A175" s="2" t="str">
        <x:v>CHK-00174</x:v>
      </x:c>
      <x:c r="B175" s="2" t="str">
        <x:v>FAC-2-0004</x:v>
      </x:c>
      <x:c r="C175" s="2" t="str">
        <x:v>76543210-3</x:v>
      </x:c>
      <x:c r="D175" s="2" t="str">
        <x:v>orden_compra</x:v>
      </x:c>
      <x:c r="E175" s="2" t="str">
        <x:v>cumplido</x:v>
      </x:c>
      <x:c r="F175" s="2" t="str">
        <x:v>pagador</x:v>
      </x:c>
      <x:c r="G175" s="15" t="d">
        <x:v>2026-06-14T00:00:00.000Z</x:v>
      </x:c>
      <x:c r="H175" s="2" t="str">
        <x:v>evidencias/FAC-2-0004-orden_compra.pdf</x:v>
      </x:c>
    </x:row>
    <x:row r="176">
      <x:c r="A176" s="2" t="str">
        <x:v>CHK-00175</x:v>
      </x:c>
      <x:c r="B176" s="2" t="str">
        <x:v>FAC-2-0004</x:v>
      </x:c>
      <x:c r="C176" s="2" t="str">
        <x:v>76543210-3</x:v>
      </x:c>
      <x:c r="D176" s="2" t="str">
        <x:v>hes_conformidad</x:v>
      </x:c>
      <x:c r="E176" s="2" t="str">
        <x:v>cumplido</x:v>
      </x:c>
      <x:c r="F176" s="2" t="str">
        <x:v>pagador</x:v>
      </x:c>
      <x:c r="G176" s="15" t="d">
        <x:v>2026-06-14T00:00:00.000Z</x:v>
      </x:c>
      <x:c r="H176" s="2" t="str">
        <x:v>evidencias/FAC-2-0004-hes_conformidad.pdf</x:v>
      </x:c>
    </x:row>
    <x:row r="177">
      <x:c r="A177" s="2" t="str">
        <x:v>CHK-00176</x:v>
      </x:c>
      <x:c r="B177" s="2" t="str">
        <x:v>FAC-2-0004</x:v>
      </x:c>
      <x:c r="C177" s="2" t="str">
        <x:v>76543210-3</x:v>
      </x:c>
      <x:c r="D177" s="2" t="str">
        <x:v>portal_proveedor</x:v>
      </x:c>
      <x:c r="E177" s="2" t="str">
        <x:v>cumplido</x:v>
      </x:c>
      <x:c r="F177" s="2" t="str">
        <x:v>operador</x:v>
      </x:c>
      <x:c r="G177" s="15" t="d">
        <x:v>2026-06-14T00:00:00.000Z</x:v>
      </x:c>
      <x:c r="H177" s="2" t="str">
        <x:v>evidencias/FAC-2-0004-portal_proveedor.pdf</x:v>
      </x:c>
    </x:row>
    <x:row r="178">
      <x:c r="A178" s="2" t="str">
        <x:v>CHK-00177</x:v>
      </x:c>
      <x:c r="B178" s="2" t="str">
        <x:v>FAC-2-0005</x:v>
      </x:c>
      <x:c r="C178" s="2" t="str">
        <x:v>76543210-3</x:v>
      </x:c>
      <x:c r="D178" s="2" t="str">
        <x:v>aceptacion_sii</x:v>
      </x:c>
      <x:c r="E178" s="2" t="str">
        <x:v>cumplido</x:v>
      </x:c>
      <x:c r="F178" s="2" t="str">
        <x:v>operador</x:v>
      </x:c>
      <x:c r="G178" s="15" t="d">
        <x:v>2026-08-04T00:00:00.000Z</x:v>
      </x:c>
      <x:c r="H178" s="2" t="str">
        <x:v>evidencias/FAC-2-0005-aceptacion_sii.pdf</x:v>
      </x:c>
    </x:row>
    <x:row r="179">
      <x:c r="A179" s="2" t="str">
        <x:v>CHK-00178</x:v>
      </x:c>
      <x:c r="B179" s="2" t="str">
        <x:v>FAC-2-0005</x:v>
      </x:c>
      <x:c r="C179" s="2" t="str">
        <x:v>76543210-3</x:v>
      </x:c>
      <x:c r="D179" s="2" t="str">
        <x:v>orden_compra</x:v>
      </x:c>
      <x:c r="E179" s="2" t="str">
        <x:v>no_aplica</x:v>
      </x:c>
      <x:c r="F179" s="2" t="str">
        <x:v>sistema</x:v>
      </x:c>
      <x:c r="G179" s="15" t="d">
        <x:v>2026-08-04T00:00:00.000Z</x:v>
      </x:c>
      <x:c r="H179" s="2" t="str"/>
    </x:row>
    <x:row r="180">
      <x:c r="A180" s="2" t="str">
        <x:v>CHK-00179</x:v>
      </x:c>
      <x:c r="B180" s="2" t="str">
        <x:v>FAC-2-0005</x:v>
      </x:c>
      <x:c r="C180" s="2" t="str">
        <x:v>76543210-3</x:v>
      </x:c>
      <x:c r="D180" s="2" t="str">
        <x:v>hes_conformidad</x:v>
      </x:c>
      <x:c r="E180" s="2" t="str">
        <x:v>cumplido</x:v>
      </x:c>
      <x:c r="F180" s="2" t="str">
        <x:v>pagador</x:v>
      </x:c>
      <x:c r="G180" s="15" t="d">
        <x:v>2026-08-04T00:00:00.000Z</x:v>
      </x:c>
      <x:c r="H180" s="2" t="str">
        <x:v>evidencias/FAC-2-0005-hes_conformidad.pdf</x:v>
      </x:c>
    </x:row>
    <x:row r="181">
      <x:c r="A181" s="2" t="str">
        <x:v>CHK-00180</x:v>
      </x:c>
      <x:c r="B181" s="2" t="str">
        <x:v>FAC-2-0005</x:v>
      </x:c>
      <x:c r="C181" s="2" t="str">
        <x:v>76543210-3</x:v>
      </x:c>
      <x:c r="D181" s="2" t="str">
        <x:v>portal_proveedor</x:v>
      </x:c>
      <x:c r="E181" s="2" t="str">
        <x:v>cumplido</x:v>
      </x:c>
      <x:c r="F181" s="2" t="str">
        <x:v>operador</x:v>
      </x:c>
      <x:c r="G181" s="15" t="d">
        <x:v>2026-08-04T00:00:00.000Z</x:v>
      </x:c>
      <x:c r="H181" s="2" t="str">
        <x:v>evidencias/FAC-2-0005-portal_proveedor.pdf</x:v>
      </x:c>
    </x:row>
    <x:row r="182">
      <x:c r="A182" s="2" t="str">
        <x:v>CHK-00181</x:v>
      </x:c>
      <x:c r="B182" s="2" t="str">
        <x:v>FAC-2-0006</x:v>
      </x:c>
      <x:c r="C182" s="2" t="str">
        <x:v>76543210-3</x:v>
      </x:c>
      <x:c r="D182" s="2" t="str">
        <x:v>aceptacion_sii</x:v>
      </x:c>
      <x:c r="E182" s="2" t="str">
        <x:v>cumplido</x:v>
      </x:c>
      <x:c r="F182" s="2" t="str">
        <x:v>operador</x:v>
      </x:c>
      <x:c r="G182" s="15" t="d">
        <x:v>2026-08-01T00:00:00.000Z</x:v>
      </x:c>
      <x:c r="H182" s="2" t="str">
        <x:v>evidencias/FAC-2-0006-aceptacion_sii.pdf</x:v>
      </x:c>
    </x:row>
    <x:row r="183">
      <x:c r="A183" s="2" t="str">
        <x:v>CHK-00182</x:v>
      </x:c>
      <x:c r="B183" s="2" t="str">
        <x:v>FAC-2-0006</x:v>
      </x:c>
      <x:c r="C183" s="2" t="str">
        <x:v>76543210-3</x:v>
      </x:c>
      <x:c r="D183" s="2" t="str">
        <x:v>orden_compra</x:v>
      </x:c>
      <x:c r="E183" s="2" t="str">
        <x:v>cumplido</x:v>
      </x:c>
      <x:c r="F183" s="2" t="str">
        <x:v>pagador</x:v>
      </x:c>
      <x:c r="G183" s="15" t="d">
        <x:v>2026-08-01T00:00:00.000Z</x:v>
      </x:c>
      <x:c r="H183" s="2" t="str">
        <x:v>evidencias/FAC-2-0006-orden_compra.pdf</x:v>
      </x:c>
    </x:row>
    <x:row r="184">
      <x:c r="A184" s="2" t="str">
        <x:v>CHK-00183</x:v>
      </x:c>
      <x:c r="B184" s="2" t="str">
        <x:v>FAC-2-0006</x:v>
      </x:c>
      <x:c r="C184" s="2" t="str">
        <x:v>76543210-3</x:v>
      </x:c>
      <x:c r="D184" s="2" t="str">
        <x:v>hes_conformidad</x:v>
      </x:c>
      <x:c r="E184" s="2" t="str">
        <x:v>cumplido</x:v>
      </x:c>
      <x:c r="F184" s="2" t="str">
        <x:v>pagador</x:v>
      </x:c>
      <x:c r="G184" s="15" t="d">
        <x:v>2026-08-01T00:00:00.000Z</x:v>
      </x:c>
      <x:c r="H184" s="2" t="str">
        <x:v>evidencias/FAC-2-0006-hes_conformidad.pdf</x:v>
      </x:c>
    </x:row>
    <x:row r="185">
      <x:c r="A185" s="2" t="str">
        <x:v>CHK-00184</x:v>
      </x:c>
      <x:c r="B185" s="2" t="str">
        <x:v>FAC-2-0006</x:v>
      </x:c>
      <x:c r="C185" s="2" t="str">
        <x:v>76543210-3</x:v>
      </x:c>
      <x:c r="D185" s="2" t="str">
        <x:v>portal_proveedor</x:v>
      </x:c>
      <x:c r="E185" s="2" t="str">
        <x:v>cumplido</x:v>
      </x:c>
      <x:c r="F185" s="2" t="str">
        <x:v>operador</x:v>
      </x:c>
      <x:c r="G185" s="15" t="d">
        <x:v>2026-08-01T00:00:00.000Z</x:v>
      </x:c>
      <x:c r="H185" s="2" t="str">
        <x:v>evidencias/FAC-2-0006-portal_proveedor.pdf</x:v>
      </x:c>
    </x:row>
    <x:row r="186">
      <x:c r="A186" s="2" t="str">
        <x:v>CHK-00185</x:v>
      </x:c>
      <x:c r="B186" s="2" t="str">
        <x:v>FAC-2-0007</x:v>
      </x:c>
      <x:c r="C186" s="2" t="str">
        <x:v>76543210-3</x:v>
      </x:c>
      <x:c r="D186" s="2" t="str">
        <x:v>aceptacion_sii</x:v>
      </x:c>
      <x:c r="E186" s="2" t="str">
        <x:v>cumplido</x:v>
      </x:c>
      <x:c r="F186" s="2" t="str">
        <x:v>operador</x:v>
      </x:c>
      <x:c r="G186" s="15" t="d">
        <x:v>2026-06-23T00:00:00.000Z</x:v>
      </x:c>
      <x:c r="H186" s="2" t="str">
        <x:v>evidencias/FAC-2-0007-aceptacion_sii.pdf</x:v>
      </x:c>
    </x:row>
    <x:row r="187">
      <x:c r="A187" s="2" t="str">
        <x:v>CHK-00186</x:v>
      </x:c>
      <x:c r="B187" s="2" t="str">
        <x:v>FAC-2-0007</x:v>
      </x:c>
      <x:c r="C187" s="2" t="str">
        <x:v>76543210-3</x:v>
      </x:c>
      <x:c r="D187" s="2" t="str">
        <x:v>orden_compra</x:v>
      </x:c>
      <x:c r="E187" s="2" t="str">
        <x:v>cumplido</x:v>
      </x:c>
      <x:c r="F187" s="2" t="str">
        <x:v>pagador</x:v>
      </x:c>
      <x:c r="G187" s="15" t="d">
        <x:v>2026-06-23T00:00:00.000Z</x:v>
      </x:c>
      <x:c r="H187" s="2" t="str">
        <x:v>evidencias/FAC-2-0007-orden_compra.pdf</x:v>
      </x:c>
    </x:row>
    <x:row r="188">
      <x:c r="A188" s="2" t="str">
        <x:v>CHK-00187</x:v>
      </x:c>
      <x:c r="B188" s="2" t="str">
        <x:v>FAC-2-0007</x:v>
      </x:c>
      <x:c r="C188" s="2" t="str">
        <x:v>76543210-3</x:v>
      </x:c>
      <x:c r="D188" s="2" t="str">
        <x:v>hes_conformidad</x:v>
      </x:c>
      <x:c r="E188" s="2" t="str">
        <x:v>cumplido</x:v>
      </x:c>
      <x:c r="F188" s="2" t="str">
        <x:v>pagador</x:v>
      </x:c>
      <x:c r="G188" s="15" t="d">
        <x:v>2026-06-23T00:00:00.000Z</x:v>
      </x:c>
      <x:c r="H188" s="2" t="str">
        <x:v>evidencias/FAC-2-0007-hes_conformidad.pdf</x:v>
      </x:c>
    </x:row>
    <x:row r="189">
      <x:c r="A189" s="2" t="str">
        <x:v>CHK-00188</x:v>
      </x:c>
      <x:c r="B189" s="2" t="str">
        <x:v>FAC-2-0007</x:v>
      </x:c>
      <x:c r="C189" s="2" t="str">
        <x:v>76543210-3</x:v>
      </x:c>
      <x:c r="D189" s="2" t="str">
        <x:v>portal_proveedor</x:v>
      </x:c>
      <x:c r="E189" s="2" t="str">
        <x:v>cumplido</x:v>
      </x:c>
      <x:c r="F189" s="2" t="str">
        <x:v>operador</x:v>
      </x:c>
      <x:c r="G189" s="15" t="d">
        <x:v>2026-06-23T00:00:00.000Z</x:v>
      </x:c>
      <x:c r="H189" s="2" t="str">
        <x:v>evidencias/FAC-2-0007-portal_proveedor.pdf</x:v>
      </x:c>
    </x:row>
    <x:row r="190">
      <x:c r="A190" s="2" t="str">
        <x:v>CHK-00189</x:v>
      </x:c>
      <x:c r="B190" s="2" t="str">
        <x:v>FAC-2-0008</x:v>
      </x:c>
      <x:c r="C190" s="2" t="str">
        <x:v>76543210-3</x:v>
      </x:c>
      <x:c r="D190" s="2" t="str">
        <x:v>aceptacion_sii</x:v>
      </x:c>
      <x:c r="E190" s="2" t="str">
        <x:v>cumplido</x:v>
      </x:c>
      <x:c r="F190" s="2" t="str">
        <x:v>operador</x:v>
      </x:c>
      <x:c r="G190" s="15" t="d">
        <x:v>2026-07-20T00:00:00.000Z</x:v>
      </x:c>
      <x:c r="H190" s="2" t="str">
        <x:v>evidencias/FAC-2-0008-aceptacion_sii.pdf</x:v>
      </x:c>
    </x:row>
    <x:row r="191">
      <x:c r="A191" s="2" t="str">
        <x:v>CHK-00190</x:v>
      </x:c>
      <x:c r="B191" s="2" t="str">
        <x:v>FAC-2-0008</x:v>
      </x:c>
      <x:c r="C191" s="2" t="str">
        <x:v>76543210-3</x:v>
      </x:c>
      <x:c r="D191" s="2" t="str">
        <x:v>orden_compra</x:v>
      </x:c>
      <x:c r="E191" s="2" t="str">
        <x:v>cumplido</x:v>
      </x:c>
      <x:c r="F191" s="2" t="str">
        <x:v>pagador</x:v>
      </x:c>
      <x:c r="G191" s="15" t="d">
        <x:v>2026-07-20T00:00:00.000Z</x:v>
      </x:c>
      <x:c r="H191" s="2" t="str">
        <x:v>evidencias/FAC-2-0008-orden_compra.pdf</x:v>
      </x:c>
    </x:row>
    <x:row r="192">
      <x:c r="A192" s="2" t="str">
        <x:v>CHK-00191</x:v>
      </x:c>
      <x:c r="B192" s="2" t="str">
        <x:v>FAC-2-0008</x:v>
      </x:c>
      <x:c r="C192" s="2" t="str">
        <x:v>76543210-3</x:v>
      </x:c>
      <x:c r="D192" s="2" t="str">
        <x:v>hes_conformidad</x:v>
      </x:c>
      <x:c r="E192" s="2" t="str">
        <x:v>no_aplica</x:v>
      </x:c>
      <x:c r="F192" s="2" t="str">
        <x:v>sistema</x:v>
      </x:c>
      <x:c r="G192" s="15" t="d">
        <x:v>2026-07-20T00:00:00.000Z</x:v>
      </x:c>
      <x:c r="H192" s="2" t="str"/>
    </x:row>
    <x:row r="193">
      <x:c r="A193" s="2" t="str">
        <x:v>CHK-00192</x:v>
      </x:c>
      <x:c r="B193" s="2" t="str">
        <x:v>FAC-2-0008</x:v>
      </x:c>
      <x:c r="C193" s="2" t="str">
        <x:v>76543210-3</x:v>
      </x:c>
      <x:c r="D193" s="2" t="str">
        <x:v>portal_proveedor</x:v>
      </x:c>
      <x:c r="E193" s="2" t="str">
        <x:v>no_aplica</x:v>
      </x:c>
      <x:c r="F193" s="2" t="str">
        <x:v>sistema</x:v>
      </x:c>
      <x:c r="G193" s="15" t="d">
        <x:v>2026-07-20T00:00:00.000Z</x:v>
      </x:c>
      <x:c r="H193" s="2" t="str"/>
    </x:row>
    <x:row r="194">
      <x:c r="A194" s="2" t="str">
        <x:v>CHK-00193</x:v>
      </x:c>
      <x:c r="B194" s="2" t="str">
        <x:v>FAC-2-0009</x:v>
      </x:c>
      <x:c r="C194" s="2" t="str">
        <x:v>76543210-3</x:v>
      </x:c>
      <x:c r="D194" s="2" t="str">
        <x:v>aceptacion_sii</x:v>
      </x:c>
      <x:c r="E194" s="2" t="str">
        <x:v>cumplido</x:v>
      </x:c>
      <x:c r="F194" s="2" t="str">
        <x:v>operador</x:v>
      </x:c>
      <x:c r="G194" s="15" t="d">
        <x:v>2026-08-23T00:00:00.000Z</x:v>
      </x:c>
      <x:c r="H194" s="2" t="str">
        <x:v>evidencias/FAC-2-0009-aceptacion_sii.pdf</x:v>
      </x:c>
    </x:row>
    <x:row r="195">
      <x:c r="A195" s="2" t="str">
        <x:v>CHK-00194</x:v>
      </x:c>
      <x:c r="B195" s="2" t="str">
        <x:v>FAC-2-0009</x:v>
      </x:c>
      <x:c r="C195" s="2" t="str">
        <x:v>76543210-3</x:v>
      </x:c>
      <x:c r="D195" s="2" t="str">
        <x:v>orden_compra</x:v>
      </x:c>
      <x:c r="E195" s="2" t="str">
        <x:v>cumplido</x:v>
      </x:c>
      <x:c r="F195" s="2" t="str">
        <x:v>pagador</x:v>
      </x:c>
      <x:c r="G195" s="15" t="d">
        <x:v>2026-08-23T00:00:00.000Z</x:v>
      </x:c>
      <x:c r="H195" s="2" t="str">
        <x:v>evidencias/FAC-2-0009-orden_compra.pdf</x:v>
      </x:c>
    </x:row>
    <x:row r="196">
      <x:c r="A196" s="2" t="str">
        <x:v>CHK-00195</x:v>
      </x:c>
      <x:c r="B196" s="2" t="str">
        <x:v>FAC-2-0009</x:v>
      </x:c>
      <x:c r="C196" s="2" t="str">
        <x:v>76543210-3</x:v>
      </x:c>
      <x:c r="D196" s="2" t="str">
        <x:v>hes_conformidad</x:v>
      </x:c>
      <x:c r="E196" s="2" t="str">
        <x:v>cumplido</x:v>
      </x:c>
      <x:c r="F196" s="2" t="str">
        <x:v>pagador</x:v>
      </x:c>
      <x:c r="G196" s="15" t="d">
        <x:v>2026-08-23T00:00:00.000Z</x:v>
      </x:c>
      <x:c r="H196" s="2" t="str">
        <x:v>evidencias/FAC-2-0009-hes_conformidad.pdf</x:v>
      </x:c>
    </x:row>
    <x:row r="197">
      <x:c r="A197" s="2" t="str">
        <x:v>CHK-00196</x:v>
      </x:c>
      <x:c r="B197" s="2" t="str">
        <x:v>FAC-2-0009</x:v>
      </x:c>
      <x:c r="C197" s="2" t="str">
        <x:v>76543210-3</x:v>
      </x:c>
      <x:c r="D197" s="2" t="str">
        <x:v>portal_proveedor</x:v>
      </x:c>
      <x:c r="E197" s="2" t="str">
        <x:v>cumplido</x:v>
      </x:c>
      <x:c r="F197" s="2" t="str">
        <x:v>operador</x:v>
      </x:c>
      <x:c r="G197" s="15" t="d">
        <x:v>2026-08-23T00:00:00.000Z</x:v>
      </x:c>
      <x:c r="H197" s="2" t="str">
        <x:v>evidencias/FAC-2-0009-portal_proveedor.pdf</x:v>
      </x:c>
    </x:row>
    <x:row r="198">
      <x:c r="A198" s="2" t="str">
        <x:v>CHK-00197</x:v>
      </x:c>
      <x:c r="B198" s="2" t="str">
        <x:v>FAC-2-0010</x:v>
      </x:c>
      <x:c r="C198" s="2" t="str">
        <x:v>76543210-3</x:v>
      </x:c>
      <x:c r="D198" s="2" t="str">
        <x:v>aceptacion_sii</x:v>
      </x:c>
      <x:c r="E198" s="2" t="str">
        <x:v>cumplido</x:v>
      </x:c>
      <x:c r="F198" s="2" t="str">
        <x:v>operador</x:v>
      </x:c>
      <x:c r="G198" s="15" t="d">
        <x:v>2026-08-07T00:00:00.000Z</x:v>
      </x:c>
      <x:c r="H198" s="2" t="str">
        <x:v>evidencias/FAC-2-0010-aceptacion_sii.pdf</x:v>
      </x:c>
    </x:row>
    <x:row r="199">
      <x:c r="A199" s="2" t="str">
        <x:v>CHK-00198</x:v>
      </x:c>
      <x:c r="B199" s="2" t="str">
        <x:v>FAC-2-0010</x:v>
      </x:c>
      <x:c r="C199" s="2" t="str">
        <x:v>76543210-3</x:v>
      </x:c>
      <x:c r="D199" s="2" t="str">
        <x:v>orden_compra</x:v>
      </x:c>
      <x:c r="E199" s="2" t="str">
        <x:v>no_aplica</x:v>
      </x:c>
      <x:c r="F199" s="2" t="str">
        <x:v>sistema</x:v>
      </x:c>
      <x:c r="G199" s="15" t="d">
        <x:v>2026-08-07T00:00:00.000Z</x:v>
      </x:c>
      <x:c r="H199" s="2" t="str"/>
    </x:row>
    <x:row r="200">
      <x:c r="A200" s="2" t="str">
        <x:v>CHK-00199</x:v>
      </x:c>
      <x:c r="B200" s="2" t="str">
        <x:v>FAC-2-0010</x:v>
      </x:c>
      <x:c r="C200" s="2" t="str">
        <x:v>76543210-3</x:v>
      </x:c>
      <x:c r="D200" s="2" t="str">
        <x:v>hes_conformidad</x:v>
      </x:c>
      <x:c r="E200" s="2" t="str">
        <x:v>cumplido</x:v>
      </x:c>
      <x:c r="F200" s="2" t="str">
        <x:v>pagador</x:v>
      </x:c>
      <x:c r="G200" s="15" t="d">
        <x:v>2026-08-07T00:00:00.000Z</x:v>
      </x:c>
      <x:c r="H200" s="2" t="str">
        <x:v>evidencias/FAC-2-0010-hes_conformidad.pdf</x:v>
      </x:c>
    </x:row>
    <x:row r="201">
      <x:c r="A201" s="2" t="str">
        <x:v>CHK-00200</x:v>
      </x:c>
      <x:c r="B201" s="2" t="str">
        <x:v>FAC-2-0010</x:v>
      </x:c>
      <x:c r="C201" s="2" t="str">
        <x:v>76543210-3</x:v>
      </x:c>
      <x:c r="D201" s="2" t="str">
        <x:v>portal_proveedor</x:v>
      </x:c>
      <x:c r="E201" s="2" t="str">
        <x:v>cumplido</x:v>
      </x:c>
      <x:c r="F201" s="2" t="str">
        <x:v>operador</x:v>
      </x:c>
      <x:c r="G201" s="15" t="d">
        <x:v>2026-08-07T00:00:00.000Z</x:v>
      </x:c>
      <x:c r="H201" s="2" t="str">
        <x:v>evidencias/FAC-2-0010-portal_proveedor.pdf</x:v>
      </x:c>
    </x:row>
    <x:row r="202">
      <x:c r="A202" s="2" t="str">
        <x:v>CHK-00201</x:v>
      </x:c>
      <x:c r="B202" s="2" t="str">
        <x:v>FAC-2-0011</x:v>
      </x:c>
      <x:c r="C202" s="2" t="str">
        <x:v>76543210-3</x:v>
      </x:c>
      <x:c r="D202" s="2" t="str">
        <x:v>aceptacion_sii</x:v>
      </x:c>
      <x:c r="E202" s="2" t="str">
        <x:v>cumplido</x:v>
      </x:c>
      <x:c r="F202" s="2" t="str">
        <x:v>operador</x:v>
      </x:c>
      <x:c r="G202" s="15" t="d">
        <x:v>2026-07-05T00:00:00.000Z</x:v>
      </x:c>
      <x:c r="H202" s="2" t="str">
        <x:v>evidencias/FAC-2-0011-aceptacion_sii.pdf</x:v>
      </x:c>
    </x:row>
    <x:row r="203">
      <x:c r="A203" s="2" t="str">
        <x:v>CHK-00202</x:v>
      </x:c>
      <x:c r="B203" s="2" t="str">
        <x:v>FAC-2-0011</x:v>
      </x:c>
      <x:c r="C203" s="2" t="str">
        <x:v>76543210-3</x:v>
      </x:c>
      <x:c r="D203" s="2" t="str">
        <x:v>orden_compra</x:v>
      </x:c>
      <x:c r="E203" s="2" t="str">
        <x:v>pendiente</x:v>
      </x:c>
      <x:c r="F203" s="2" t="str">
        <x:v>pagador</x:v>
      </x:c>
      <x:c r="G203" s="15" t="d">
        <x:v>2026-07-05T00:00:00.000Z</x:v>
      </x:c>
      <x:c r="H203" s="2" t="str"/>
    </x:row>
    <x:row r="204">
      <x:c r="A204" s="2" t="str">
        <x:v>CHK-00203</x:v>
      </x:c>
      <x:c r="B204" s="2" t="str">
        <x:v>FAC-2-0011</x:v>
      </x:c>
      <x:c r="C204" s="2" t="str">
        <x:v>76543210-3</x:v>
      </x:c>
      <x:c r="D204" s="2" t="str">
        <x:v>hes_conformidad</x:v>
      </x:c>
      <x:c r="E204" s="2" t="str">
        <x:v>cumplido</x:v>
      </x:c>
      <x:c r="F204" s="2" t="str">
        <x:v>pagador</x:v>
      </x:c>
      <x:c r="G204" s="15" t="d">
        <x:v>2026-07-05T00:00:00.000Z</x:v>
      </x:c>
      <x:c r="H204" s="2" t="str">
        <x:v>evidencias/FAC-2-0011-hes_conformidad.pdf</x:v>
      </x:c>
    </x:row>
    <x:row r="205">
      <x:c r="A205" s="2" t="str">
        <x:v>CHK-00204</x:v>
      </x:c>
      <x:c r="B205" s="2" t="str">
        <x:v>FAC-2-0011</x:v>
      </x:c>
      <x:c r="C205" s="2" t="str">
        <x:v>76543210-3</x:v>
      </x:c>
      <x:c r="D205" s="2" t="str">
        <x:v>portal_proveedor</x:v>
      </x:c>
      <x:c r="E205" s="2" t="str">
        <x:v>cumplido</x:v>
      </x:c>
      <x:c r="F205" s="2" t="str">
        <x:v>operador</x:v>
      </x:c>
      <x:c r="G205" s="15" t="d">
        <x:v>2026-07-05T00:00:00.000Z</x:v>
      </x:c>
      <x:c r="H205" s="2" t="str">
        <x:v>evidencias/FAC-2-0011-portal_proveedor.pdf</x:v>
      </x:c>
    </x:row>
    <x:row r="206">
      <x:c r="A206" s="2" t="str">
        <x:v>CHK-00205</x:v>
      </x:c>
      <x:c r="B206" s="2" t="str">
        <x:v>FAC-2-0012</x:v>
      </x:c>
      <x:c r="C206" s="2" t="str">
        <x:v>76543210-3</x:v>
      </x:c>
      <x:c r="D206" s="2" t="str">
        <x:v>aceptacion_sii</x:v>
      </x:c>
      <x:c r="E206" s="2" t="str">
        <x:v>cumplido</x:v>
      </x:c>
      <x:c r="F206" s="2" t="str">
        <x:v>operador</x:v>
      </x:c>
      <x:c r="G206" s="15" t="d">
        <x:v>2026-07-08T00:00:00.000Z</x:v>
      </x:c>
      <x:c r="H206" s="2" t="str">
        <x:v>evidencias/FAC-2-0012-aceptacion_sii.pdf</x:v>
      </x:c>
    </x:row>
    <x:row r="207">
      <x:c r="A207" s="2" t="str">
        <x:v>CHK-00206</x:v>
      </x:c>
      <x:c r="B207" s="2" t="str">
        <x:v>FAC-2-0012</x:v>
      </x:c>
      <x:c r="C207" s="2" t="str">
        <x:v>76543210-3</x:v>
      </x:c>
      <x:c r="D207" s="2" t="str">
        <x:v>orden_compra</x:v>
      </x:c>
      <x:c r="E207" s="2" t="str">
        <x:v>cumplido</x:v>
      </x:c>
      <x:c r="F207" s="2" t="str">
        <x:v>pagador</x:v>
      </x:c>
      <x:c r="G207" s="15" t="d">
        <x:v>2026-07-08T00:00:00.000Z</x:v>
      </x:c>
      <x:c r="H207" s="2" t="str">
        <x:v>evidencias/FAC-2-0012-orden_compra.pdf</x:v>
      </x:c>
    </x:row>
    <x:row r="208">
      <x:c r="A208" s="2" t="str">
        <x:v>CHK-00207</x:v>
      </x:c>
      <x:c r="B208" s="2" t="str">
        <x:v>FAC-2-0012</x:v>
      </x:c>
      <x:c r="C208" s="2" t="str">
        <x:v>76543210-3</x:v>
      </x:c>
      <x:c r="D208" s="2" t="str">
        <x:v>hes_conformidad</x:v>
      </x:c>
      <x:c r="E208" s="2" t="str">
        <x:v>cumplido</x:v>
      </x:c>
      <x:c r="F208" s="2" t="str">
        <x:v>pagador</x:v>
      </x:c>
      <x:c r="G208" s="15" t="d">
        <x:v>2026-07-08T00:00:00.000Z</x:v>
      </x:c>
      <x:c r="H208" s="2" t="str">
        <x:v>evidencias/FAC-2-0012-hes_conformidad.pdf</x:v>
      </x:c>
    </x:row>
    <x:row r="209">
      <x:c r="A209" s="2" t="str">
        <x:v>CHK-00208</x:v>
      </x:c>
      <x:c r="B209" s="2" t="str">
        <x:v>FAC-2-0012</x:v>
      </x:c>
      <x:c r="C209" s="2" t="str">
        <x:v>76543210-3</x:v>
      </x:c>
      <x:c r="D209" s="2" t="str">
        <x:v>portal_proveedor</x:v>
      </x:c>
      <x:c r="E209" s="2" t="str">
        <x:v>cumplido</x:v>
      </x:c>
      <x:c r="F209" s="2" t="str">
        <x:v>operador</x:v>
      </x:c>
      <x:c r="G209" s="15" t="d">
        <x:v>2026-07-08T00:00:00.000Z</x:v>
      </x:c>
      <x:c r="H209" s="2" t="str">
        <x:v>evidencias/FAC-2-0012-portal_proveedor.pdf</x:v>
      </x:c>
    </x:row>
    <x:row r="210">
      <x:c r="A210" s="2" t="str">
        <x:v>CHK-00209</x:v>
      </x:c>
      <x:c r="B210" s="2" t="str">
        <x:v>FAC-2-0013</x:v>
      </x:c>
      <x:c r="C210" s="2" t="str">
        <x:v>76543210-3</x:v>
      </x:c>
      <x:c r="D210" s="2" t="str">
        <x:v>aceptacion_sii</x:v>
      </x:c>
      <x:c r="E210" s="2" t="str">
        <x:v>reclamado</x:v>
      </x:c>
      <x:c r="F210" s="2" t="str">
        <x:v>operador</x:v>
      </x:c>
      <x:c r="G210" s="15" t="d">
        <x:v>2026-07-09T00:00:00.000Z</x:v>
      </x:c>
      <x:c r="H210" s="2" t="str"/>
    </x:row>
    <x:row r="211">
      <x:c r="A211" s="2" t="str">
        <x:v>CHK-00210</x:v>
      </x:c>
      <x:c r="B211" s="2" t="str">
        <x:v>FAC-2-0013</x:v>
      </x:c>
      <x:c r="C211" s="2" t="str">
        <x:v>76543210-3</x:v>
      </x:c>
      <x:c r="D211" s="2" t="str">
        <x:v>orden_compra</x:v>
      </x:c>
      <x:c r="E211" s="2" t="str">
        <x:v>cumplido</x:v>
      </x:c>
      <x:c r="F211" s="2" t="str">
        <x:v>pagador</x:v>
      </x:c>
      <x:c r="G211" s="15" t="d">
        <x:v>2026-07-09T00:00:00.000Z</x:v>
      </x:c>
      <x:c r="H211" s="2" t="str">
        <x:v>evidencias/FAC-2-0013-orden_compra.pdf</x:v>
      </x:c>
    </x:row>
    <x:row r="212">
      <x:c r="A212" s="2" t="str">
        <x:v>CHK-00211</x:v>
      </x:c>
      <x:c r="B212" s="2" t="str">
        <x:v>FAC-2-0013</x:v>
      </x:c>
      <x:c r="C212" s="2" t="str">
        <x:v>76543210-3</x:v>
      </x:c>
      <x:c r="D212" s="2" t="str">
        <x:v>hes_conformidad</x:v>
      </x:c>
      <x:c r="E212" s="2" t="str">
        <x:v>no_aplica</x:v>
      </x:c>
      <x:c r="F212" s="2" t="str">
        <x:v>sistema</x:v>
      </x:c>
      <x:c r="G212" s="15" t="d">
        <x:v>2026-07-09T00:00:00.000Z</x:v>
      </x:c>
      <x:c r="H212" s="2" t="str"/>
    </x:row>
    <x:row r="213">
      <x:c r="A213" s="2" t="str">
        <x:v>CHK-00212</x:v>
      </x:c>
      <x:c r="B213" s="2" t="str">
        <x:v>FAC-2-0013</x:v>
      </x:c>
      <x:c r="C213" s="2" t="str">
        <x:v>76543210-3</x:v>
      </x:c>
      <x:c r="D213" s="2" t="str">
        <x:v>portal_proveedor</x:v>
      </x:c>
      <x:c r="E213" s="2" t="str">
        <x:v>no_aplica</x:v>
      </x:c>
      <x:c r="F213" s="2" t="str">
        <x:v>sistema</x:v>
      </x:c>
      <x:c r="G213" s="15" t="d">
        <x:v>2026-07-09T00:00:00.000Z</x:v>
      </x:c>
      <x:c r="H213" s="2" t="str"/>
    </x:row>
    <x:row r="214">
      <x:c r="A214" s="2" t="str">
        <x:v>CHK-00213</x:v>
      </x:c>
      <x:c r="B214" s="2" t="str">
        <x:v>FAC-2-0014</x:v>
      </x:c>
      <x:c r="C214" s="2" t="str">
        <x:v>76543210-3</x:v>
      </x:c>
      <x:c r="D214" s="2" t="str">
        <x:v>aceptacion_sii</x:v>
      </x:c>
      <x:c r="E214" s="2" t="str">
        <x:v>cumplido</x:v>
      </x:c>
      <x:c r="F214" s="2" t="str">
        <x:v>operador</x:v>
      </x:c>
      <x:c r="G214" s="15" t="d">
        <x:v>2026-07-14T00:00:00.000Z</x:v>
      </x:c>
      <x:c r="H214" s="2" t="str">
        <x:v>evidencias/FAC-2-0014-aceptacion_sii.pdf</x:v>
      </x:c>
    </x:row>
    <x:row r="215">
      <x:c r="A215" s="2" t="str">
        <x:v>CHK-00214</x:v>
      </x:c>
      <x:c r="B215" s="2" t="str">
        <x:v>FAC-2-0014</x:v>
      </x:c>
      <x:c r="C215" s="2" t="str">
        <x:v>76543210-3</x:v>
      </x:c>
      <x:c r="D215" s="2" t="str">
        <x:v>orden_compra</x:v>
      </x:c>
      <x:c r="E215" s="2" t="str">
        <x:v>cumplido</x:v>
      </x:c>
      <x:c r="F215" s="2" t="str">
        <x:v>pagador</x:v>
      </x:c>
      <x:c r="G215" s="15" t="d">
        <x:v>2026-07-14T00:00:00.000Z</x:v>
      </x:c>
      <x:c r="H215" s="2" t="str">
        <x:v>evidencias/FAC-2-0014-orden_compra.pdf</x:v>
      </x:c>
    </x:row>
    <x:row r="216">
      <x:c r="A216" s="2" t="str">
        <x:v>CHK-00215</x:v>
      </x:c>
      <x:c r="B216" s="2" t="str">
        <x:v>FAC-2-0014</x:v>
      </x:c>
      <x:c r="C216" s="2" t="str">
        <x:v>76543210-3</x:v>
      </x:c>
      <x:c r="D216" s="2" t="str">
        <x:v>hes_conformidad</x:v>
      </x:c>
      <x:c r="E216" s="2" t="str">
        <x:v>cumplido</x:v>
      </x:c>
      <x:c r="F216" s="2" t="str">
        <x:v>pagador</x:v>
      </x:c>
      <x:c r="G216" s="15" t="d">
        <x:v>2026-07-14T00:00:00.000Z</x:v>
      </x:c>
      <x:c r="H216" s="2" t="str">
        <x:v>evidencias/FAC-2-0014-hes_conformidad.pdf</x:v>
      </x:c>
    </x:row>
    <x:row r="217">
      <x:c r="A217" s="2" t="str">
        <x:v>CHK-00216</x:v>
      </x:c>
      <x:c r="B217" s="2" t="str">
        <x:v>FAC-2-0014</x:v>
      </x:c>
      <x:c r="C217" s="2" t="str">
        <x:v>76543210-3</x:v>
      </x:c>
      <x:c r="D217" s="2" t="str">
        <x:v>portal_proveedor</x:v>
      </x:c>
      <x:c r="E217" s="2" t="str">
        <x:v>cumplido</x:v>
      </x:c>
      <x:c r="F217" s="2" t="str">
        <x:v>operador</x:v>
      </x:c>
      <x:c r="G217" s="15" t="d">
        <x:v>2026-07-14T00:00:00.000Z</x:v>
      </x:c>
      <x:c r="H217" s="2" t="str">
        <x:v>evidencias/FAC-2-0014-portal_proveedor.pdf</x:v>
      </x:c>
    </x:row>
    <x:row r="218">
      <x:c r="A218" s="2" t="str">
        <x:v>CHK-00217</x:v>
      </x:c>
      <x:c r="B218" s="2" t="str">
        <x:v>FAC-2-0015</x:v>
      </x:c>
      <x:c r="C218" s="2" t="str">
        <x:v>76543210-3</x:v>
      </x:c>
      <x:c r="D218" s="2" t="str">
        <x:v>aceptacion_sii</x:v>
      </x:c>
      <x:c r="E218" s="2" t="str">
        <x:v>cumplido</x:v>
      </x:c>
      <x:c r="F218" s="2" t="str">
        <x:v>operador</x:v>
      </x:c>
      <x:c r="G218" s="15" t="d">
        <x:v>2026-09-03T00:00:00.000Z</x:v>
      </x:c>
      <x:c r="H218" s="2" t="str">
        <x:v>evidencias/FAC-2-0015-aceptacion_sii.pdf</x:v>
      </x:c>
    </x:row>
    <x:row r="219">
      <x:c r="A219" s="2" t="str">
        <x:v>CHK-00218</x:v>
      </x:c>
      <x:c r="B219" s="2" t="str">
        <x:v>FAC-2-0015</x:v>
      </x:c>
      <x:c r="C219" s="2" t="str">
        <x:v>76543210-3</x:v>
      </x:c>
      <x:c r="D219" s="2" t="str">
        <x:v>orden_compra</x:v>
      </x:c>
      <x:c r="E219" s="2" t="str">
        <x:v>no_aplica</x:v>
      </x:c>
      <x:c r="F219" s="2" t="str">
        <x:v>sistema</x:v>
      </x:c>
      <x:c r="G219" s="15" t="d">
        <x:v>2026-09-03T00:00:00.000Z</x:v>
      </x:c>
      <x:c r="H219" s="2" t="str"/>
    </x:row>
    <x:row r="220">
      <x:c r="A220" s="2" t="str">
        <x:v>CHK-00219</x:v>
      </x:c>
      <x:c r="B220" s="2" t="str">
        <x:v>FAC-2-0015</x:v>
      </x:c>
      <x:c r="C220" s="2" t="str">
        <x:v>76543210-3</x:v>
      </x:c>
      <x:c r="D220" s="2" t="str">
        <x:v>hes_conformidad</x:v>
      </x:c>
      <x:c r="E220" s="2" t="str">
        <x:v>cumplido</x:v>
      </x:c>
      <x:c r="F220" s="2" t="str">
        <x:v>pagador</x:v>
      </x:c>
      <x:c r="G220" s="15" t="d">
        <x:v>2026-09-03T00:00:00.000Z</x:v>
      </x:c>
      <x:c r="H220" s="2" t="str">
        <x:v>evidencias/FAC-2-0015-hes_conformidad.pdf</x:v>
      </x:c>
    </x:row>
    <x:row r="221">
      <x:c r="A221" s="2" t="str">
        <x:v>CHK-00220</x:v>
      </x:c>
      <x:c r="B221" s="2" t="str">
        <x:v>FAC-2-0015</x:v>
      </x:c>
      <x:c r="C221" s="2" t="str">
        <x:v>76543210-3</x:v>
      </x:c>
      <x:c r="D221" s="2" t="str">
        <x:v>portal_proveedor</x:v>
      </x:c>
      <x:c r="E221" s="2" t="str">
        <x:v>cumplido</x:v>
      </x:c>
      <x:c r="F221" s="2" t="str">
        <x:v>operador</x:v>
      </x:c>
      <x:c r="G221" s="15" t="d">
        <x:v>2026-09-03T00:00:00.000Z</x:v>
      </x:c>
      <x:c r="H221" s="2" t="str">
        <x:v>evidencias/FAC-2-0015-portal_proveedor.pdf</x:v>
      </x:c>
    </x:row>
    <x:row r="222">
      <x:c r="A222" s="2" t="str">
        <x:v>CHK-00221</x:v>
      </x:c>
      <x:c r="B222" s="2" t="str">
        <x:v>FAC-2-0016</x:v>
      </x:c>
      <x:c r="C222" s="2" t="str">
        <x:v>76543210-3</x:v>
      </x:c>
      <x:c r="D222" s="2" t="str">
        <x:v>aceptacion_sii</x:v>
      </x:c>
      <x:c r="E222" s="2" t="str">
        <x:v>cumplido</x:v>
      </x:c>
      <x:c r="F222" s="2" t="str">
        <x:v>operador</x:v>
      </x:c>
      <x:c r="G222" s="15" t="d">
        <x:v>2026-08-31T00:00:00.000Z</x:v>
      </x:c>
      <x:c r="H222" s="2" t="str">
        <x:v>evidencias/FAC-2-0016-aceptacion_sii.pdf</x:v>
      </x:c>
    </x:row>
    <x:row r="223">
      <x:c r="A223" s="2" t="str">
        <x:v>CHK-00222</x:v>
      </x:c>
      <x:c r="B223" s="2" t="str">
        <x:v>FAC-2-0016</x:v>
      </x:c>
      <x:c r="C223" s="2" t="str">
        <x:v>76543210-3</x:v>
      </x:c>
      <x:c r="D223" s="2" t="str">
        <x:v>orden_compra</x:v>
      </x:c>
      <x:c r="E223" s="2" t="str">
        <x:v>cumplido</x:v>
      </x:c>
      <x:c r="F223" s="2" t="str">
        <x:v>pagador</x:v>
      </x:c>
      <x:c r="G223" s="15" t="d">
        <x:v>2026-08-31T00:00:00.000Z</x:v>
      </x:c>
      <x:c r="H223" s="2" t="str">
        <x:v>evidencias/FAC-2-0016-orden_compra.pdf</x:v>
      </x:c>
    </x:row>
    <x:row r="224">
      <x:c r="A224" s="2" t="str">
        <x:v>CHK-00223</x:v>
      </x:c>
      <x:c r="B224" s="2" t="str">
        <x:v>FAC-2-0016</x:v>
      </x:c>
      <x:c r="C224" s="2" t="str">
        <x:v>76543210-3</x:v>
      </x:c>
      <x:c r="D224" s="2" t="str">
        <x:v>hes_conformidad</x:v>
      </x:c>
      <x:c r="E224" s="2" t="str">
        <x:v>cumplido</x:v>
      </x:c>
      <x:c r="F224" s="2" t="str">
        <x:v>pagador</x:v>
      </x:c>
      <x:c r="G224" s="15" t="d">
        <x:v>2026-08-31T00:00:00.000Z</x:v>
      </x:c>
      <x:c r="H224" s="2" t="str">
        <x:v>evidencias/FAC-2-0016-hes_conformidad.pdf</x:v>
      </x:c>
    </x:row>
    <x:row r="225">
      <x:c r="A225" s="2" t="str">
        <x:v>CHK-00224</x:v>
      </x:c>
      <x:c r="B225" s="2" t="str">
        <x:v>FAC-2-0016</x:v>
      </x:c>
      <x:c r="C225" s="2" t="str">
        <x:v>76543210-3</x:v>
      </x:c>
      <x:c r="D225" s="2" t="str">
        <x:v>portal_proveedor</x:v>
      </x:c>
      <x:c r="E225" s="2" t="str">
        <x:v>cumplido</x:v>
      </x:c>
      <x:c r="F225" s="2" t="str">
        <x:v>operador</x:v>
      </x:c>
      <x:c r="G225" s="15" t="d">
        <x:v>2026-08-31T00:00:00.000Z</x:v>
      </x:c>
      <x:c r="H225" s="2" t="str">
        <x:v>evidencias/FAC-2-0016-portal_proveedor.pdf</x:v>
      </x:c>
    </x:row>
    <x:row r="226">
      <x:c r="A226" s="2" t="str">
        <x:v>CHK-00225</x:v>
      </x:c>
      <x:c r="B226" s="2" t="str">
        <x:v>FAC-2-0017</x:v>
      </x:c>
      <x:c r="C226" s="2" t="str">
        <x:v>76543210-3</x:v>
      </x:c>
      <x:c r="D226" s="2" t="str">
        <x:v>aceptacion_sii</x:v>
      </x:c>
      <x:c r="E226" s="2" t="str">
        <x:v>cumplido</x:v>
      </x:c>
      <x:c r="F226" s="2" t="str">
        <x:v>operador</x:v>
      </x:c>
      <x:c r="G226" s="15" t="d">
        <x:v>2026-07-23T00:00:00.000Z</x:v>
      </x:c>
      <x:c r="H226" s="2" t="str">
        <x:v>evidencias/FAC-2-0017-aceptacion_sii.pdf</x:v>
      </x:c>
    </x:row>
    <x:row r="227">
      <x:c r="A227" s="2" t="str">
        <x:v>CHK-00226</x:v>
      </x:c>
      <x:c r="B227" s="2" t="str">
        <x:v>FAC-2-0017</x:v>
      </x:c>
      <x:c r="C227" s="2" t="str">
        <x:v>76543210-3</x:v>
      </x:c>
      <x:c r="D227" s="2" t="str">
        <x:v>orden_compra</x:v>
      </x:c>
      <x:c r="E227" s="2" t="str">
        <x:v>cumplido</x:v>
      </x:c>
      <x:c r="F227" s="2" t="str">
        <x:v>pagador</x:v>
      </x:c>
      <x:c r="G227" s="15" t="d">
        <x:v>2026-07-23T00:00:00.000Z</x:v>
      </x:c>
      <x:c r="H227" s="2" t="str">
        <x:v>evidencias/FAC-2-0017-orden_compra.pdf</x:v>
      </x:c>
    </x:row>
    <x:row r="228">
      <x:c r="A228" s="2" t="str">
        <x:v>CHK-00227</x:v>
      </x:c>
      <x:c r="B228" s="2" t="str">
        <x:v>FAC-2-0017</x:v>
      </x:c>
      <x:c r="C228" s="2" t="str">
        <x:v>76543210-3</x:v>
      </x:c>
      <x:c r="D228" s="2" t="str">
        <x:v>hes_conformidad</x:v>
      </x:c>
      <x:c r="E228" s="2" t="str">
        <x:v>cumplido</x:v>
      </x:c>
      <x:c r="F228" s="2" t="str">
        <x:v>pagador</x:v>
      </x:c>
      <x:c r="G228" s="15" t="d">
        <x:v>2026-07-23T00:00:00.000Z</x:v>
      </x:c>
      <x:c r="H228" s="2" t="str">
        <x:v>evidencias/FAC-2-0017-hes_conformidad.pdf</x:v>
      </x:c>
    </x:row>
    <x:row r="229">
      <x:c r="A229" s="2" t="str">
        <x:v>CHK-00228</x:v>
      </x:c>
      <x:c r="B229" s="2" t="str">
        <x:v>FAC-2-0017</x:v>
      </x:c>
      <x:c r="C229" s="2" t="str">
        <x:v>76543210-3</x:v>
      </x:c>
      <x:c r="D229" s="2" t="str">
        <x:v>portal_proveedor</x:v>
      </x:c>
      <x:c r="E229" s="2" t="str">
        <x:v>cumplido</x:v>
      </x:c>
      <x:c r="F229" s="2" t="str">
        <x:v>operador</x:v>
      </x:c>
      <x:c r="G229" s="15" t="d">
        <x:v>2026-07-23T00:00:00.000Z</x:v>
      </x:c>
      <x:c r="H229" s="2" t="str">
        <x:v>evidencias/FAC-2-0017-portal_proveedor.pdf</x:v>
      </x:c>
    </x:row>
    <x:row r="230">
      <x:c r="A230" s="2" t="str">
        <x:v>CHK-00229</x:v>
      </x:c>
      <x:c r="B230" s="2" t="str">
        <x:v>FAC-2-0018</x:v>
      </x:c>
      <x:c r="C230" s="2" t="str">
        <x:v>76543210-3</x:v>
      </x:c>
      <x:c r="D230" s="2" t="str">
        <x:v>aceptacion_sii</x:v>
      </x:c>
      <x:c r="E230" s="2" t="str">
        <x:v>cumplido</x:v>
      </x:c>
      <x:c r="F230" s="2" t="str">
        <x:v>operador</x:v>
      </x:c>
      <x:c r="G230" s="15" t="d">
        <x:v>2026-08-19T00:00:00.000Z</x:v>
      </x:c>
      <x:c r="H230" s="2" t="str">
        <x:v>evidencias/FAC-2-0018-aceptacion_sii.pdf</x:v>
      </x:c>
    </x:row>
    <x:row r="231">
      <x:c r="A231" s="2" t="str">
        <x:v>CHK-00230</x:v>
      </x:c>
      <x:c r="B231" s="2" t="str">
        <x:v>FAC-2-0018</x:v>
      </x:c>
      <x:c r="C231" s="2" t="str">
        <x:v>76543210-3</x:v>
      </x:c>
      <x:c r="D231" s="2" t="str">
        <x:v>orden_compra</x:v>
      </x:c>
      <x:c r="E231" s="2" t="str">
        <x:v>cumplido</x:v>
      </x:c>
      <x:c r="F231" s="2" t="str">
        <x:v>pagador</x:v>
      </x:c>
      <x:c r="G231" s="15" t="d">
        <x:v>2026-08-19T00:00:00.000Z</x:v>
      </x:c>
      <x:c r="H231" s="2" t="str">
        <x:v>evidencias/FAC-2-0018-orden_compra.pdf</x:v>
      </x:c>
    </x:row>
    <x:row r="232">
      <x:c r="A232" s="2" t="str">
        <x:v>CHK-00231</x:v>
      </x:c>
      <x:c r="B232" s="2" t="str">
        <x:v>FAC-2-0018</x:v>
      </x:c>
      <x:c r="C232" s="2" t="str">
        <x:v>76543210-3</x:v>
      </x:c>
      <x:c r="D232" s="2" t="str">
        <x:v>hes_conformidad</x:v>
      </x:c>
      <x:c r="E232" s="2" t="str">
        <x:v>no_aplica</x:v>
      </x:c>
      <x:c r="F232" s="2" t="str">
        <x:v>sistema</x:v>
      </x:c>
      <x:c r="G232" s="15" t="d">
        <x:v>2026-08-19T00:00:00.000Z</x:v>
      </x:c>
      <x:c r="H232" s="2" t="str"/>
    </x:row>
    <x:row r="233">
      <x:c r="A233" s="2" t="str">
        <x:v>CHK-00232</x:v>
      </x:c>
      <x:c r="B233" s="2" t="str">
        <x:v>FAC-2-0018</x:v>
      </x:c>
      <x:c r="C233" s="2" t="str">
        <x:v>76543210-3</x:v>
      </x:c>
      <x:c r="D233" s="2" t="str">
        <x:v>portal_proveedor</x:v>
      </x:c>
      <x:c r="E233" s="2" t="str">
        <x:v>no_aplica</x:v>
      </x:c>
      <x:c r="F233" s="2" t="str">
        <x:v>sistema</x:v>
      </x:c>
      <x:c r="G233" s="15" t="d">
        <x:v>2026-08-19T00:00:00.000Z</x:v>
      </x:c>
      <x:c r="H233" s="2" t="str"/>
    </x:row>
    <x:row r="234">
      <x:c r="A234" s="2" t="str">
        <x:v>CHK-00233</x:v>
      </x:c>
      <x:c r="B234" s="2" t="str">
        <x:v>FAC-2-0019</x:v>
      </x:c>
      <x:c r="C234" s="2" t="str">
        <x:v>76543210-3</x:v>
      </x:c>
      <x:c r="D234" s="2" t="str">
        <x:v>aceptacion_sii</x:v>
      </x:c>
      <x:c r="E234" s="2" t="str">
        <x:v>cumplido</x:v>
      </x:c>
      <x:c r="F234" s="2" t="str">
        <x:v>operador</x:v>
      </x:c>
      <x:c r="G234" s="15" t="d">
        <x:v>2026-09-22T00:00:00.000Z</x:v>
      </x:c>
      <x:c r="H234" s="2" t="str">
        <x:v>evidencias/FAC-2-0019-aceptacion_sii.pdf</x:v>
      </x:c>
    </x:row>
    <x:row r="235">
      <x:c r="A235" s="2" t="str">
        <x:v>CHK-00234</x:v>
      </x:c>
      <x:c r="B235" s="2" t="str">
        <x:v>FAC-2-0019</x:v>
      </x:c>
      <x:c r="C235" s="2" t="str">
        <x:v>76543210-3</x:v>
      </x:c>
      <x:c r="D235" s="2" t="str">
        <x:v>orden_compra</x:v>
      </x:c>
      <x:c r="E235" s="2" t="str">
        <x:v>cumplido</x:v>
      </x:c>
      <x:c r="F235" s="2" t="str">
        <x:v>pagador</x:v>
      </x:c>
      <x:c r="G235" s="15" t="d">
        <x:v>2026-09-22T00:00:00.000Z</x:v>
      </x:c>
      <x:c r="H235" s="2" t="str">
        <x:v>evidencias/FAC-2-0019-orden_compra.pdf</x:v>
      </x:c>
    </x:row>
    <x:row r="236">
      <x:c r="A236" s="2" t="str">
        <x:v>CHK-00235</x:v>
      </x:c>
      <x:c r="B236" s="2" t="str">
        <x:v>FAC-2-0019</x:v>
      </x:c>
      <x:c r="C236" s="2" t="str">
        <x:v>76543210-3</x:v>
      </x:c>
      <x:c r="D236" s="2" t="str">
        <x:v>hes_conformidad</x:v>
      </x:c>
      <x:c r="E236" s="2" t="str">
        <x:v>cumplido</x:v>
      </x:c>
      <x:c r="F236" s="2" t="str">
        <x:v>pagador</x:v>
      </x:c>
      <x:c r="G236" s="15" t="d">
        <x:v>2026-09-22T00:00:00.000Z</x:v>
      </x:c>
      <x:c r="H236" s="2" t="str">
        <x:v>evidencias/FAC-2-0019-hes_conformidad.pdf</x:v>
      </x:c>
    </x:row>
    <x:row r="237">
      <x:c r="A237" s="2" t="str">
        <x:v>CHK-00236</x:v>
      </x:c>
      <x:c r="B237" s="2" t="str">
        <x:v>FAC-2-0019</x:v>
      </x:c>
      <x:c r="C237" s="2" t="str">
        <x:v>76543210-3</x:v>
      </x:c>
      <x:c r="D237" s="2" t="str">
        <x:v>portal_proveedor</x:v>
      </x:c>
      <x:c r="E237" s="2" t="str">
        <x:v>cumplido</x:v>
      </x:c>
      <x:c r="F237" s="2" t="str">
        <x:v>operador</x:v>
      </x:c>
      <x:c r="G237" s="15" t="d">
        <x:v>2026-09-22T00:00:00.000Z</x:v>
      </x:c>
      <x:c r="H237" s="2" t="str">
        <x:v>evidencias/FAC-2-0019-portal_proveedor.pdf</x:v>
      </x:c>
    </x:row>
    <x:row r="238">
      <x:c r="A238" s="2" t="str">
        <x:v>CHK-00237</x:v>
      </x:c>
      <x:c r="B238" s="2" t="str">
        <x:v>FAC-2-0020</x:v>
      </x:c>
      <x:c r="C238" s="2" t="str">
        <x:v>76543210-3</x:v>
      </x:c>
      <x:c r="D238" s="2" t="str">
        <x:v>aceptacion_sii</x:v>
      </x:c>
      <x:c r="E238" s="2" t="str">
        <x:v>cumplido</x:v>
      </x:c>
      <x:c r="F238" s="2" t="str">
        <x:v>operador</x:v>
      </x:c>
      <x:c r="G238" s="15" t="d">
        <x:v>2026-09-06T00:00:00.000Z</x:v>
      </x:c>
      <x:c r="H238" s="2" t="str">
        <x:v>evidencias/FAC-2-0020-aceptacion_sii.pdf</x:v>
      </x:c>
    </x:row>
    <x:row r="239">
      <x:c r="A239" s="2" t="str">
        <x:v>CHK-00238</x:v>
      </x:c>
      <x:c r="B239" s="2" t="str">
        <x:v>FAC-2-0020</x:v>
      </x:c>
      <x:c r="C239" s="2" t="str">
        <x:v>76543210-3</x:v>
      </x:c>
      <x:c r="D239" s="2" t="str">
        <x:v>orden_compra</x:v>
      </x:c>
      <x:c r="E239" s="2" t="str">
        <x:v>no_aplica</x:v>
      </x:c>
      <x:c r="F239" s="2" t="str">
        <x:v>sistema</x:v>
      </x:c>
      <x:c r="G239" s="15" t="d">
        <x:v>2026-09-06T00:00:00.000Z</x:v>
      </x:c>
      <x:c r="H239" s="2" t="str"/>
    </x:row>
    <x:row r="240">
      <x:c r="A240" s="2" t="str">
        <x:v>CHK-00239</x:v>
      </x:c>
      <x:c r="B240" s="2" t="str">
        <x:v>FAC-2-0020</x:v>
      </x:c>
      <x:c r="C240" s="2" t="str">
        <x:v>76543210-3</x:v>
      </x:c>
      <x:c r="D240" s="2" t="str">
        <x:v>hes_conformidad</x:v>
      </x:c>
      <x:c r="E240" s="2" t="str">
        <x:v>cumplido</x:v>
      </x:c>
      <x:c r="F240" s="2" t="str">
        <x:v>pagador</x:v>
      </x:c>
      <x:c r="G240" s="15" t="d">
        <x:v>2026-09-06T00:00:00.000Z</x:v>
      </x:c>
      <x:c r="H240" s="2" t="str">
        <x:v>evidencias/FAC-2-0020-hes_conformidad.pdf</x:v>
      </x:c>
    </x:row>
    <x:row r="241">
      <x:c r="A241" s="2" t="str">
        <x:v>CHK-00240</x:v>
      </x:c>
      <x:c r="B241" s="2" t="str">
        <x:v>FAC-2-0020</x:v>
      </x:c>
      <x:c r="C241" s="2" t="str">
        <x:v>76543210-3</x:v>
      </x:c>
      <x:c r="D241" s="2" t="str">
        <x:v>portal_proveedor</x:v>
      </x:c>
      <x:c r="E241" s="2" t="str">
        <x:v>cumplido</x:v>
      </x:c>
      <x:c r="F241" s="2" t="str">
        <x:v>operador</x:v>
      </x:c>
      <x:c r="G241" s="15" t="d">
        <x:v>2026-09-06T00:00:00.000Z</x:v>
      </x:c>
      <x:c r="H241" s="2" t="str">
        <x:v>evidencias/FAC-2-0020-portal_proveedor.pdf</x:v>
      </x:c>
    </x:row>
    <x:row r="242">
      <x:c r="A242" s="2" t="str">
        <x:v>CHK-00241</x:v>
      </x:c>
      <x:c r="B242" s="2" t="str">
        <x:v>FAC-2-0021</x:v>
      </x:c>
      <x:c r="C242" s="2" t="str">
        <x:v>76543210-3</x:v>
      </x:c>
      <x:c r="D242" s="2" t="str">
        <x:v>aceptacion_sii</x:v>
      </x:c>
      <x:c r="E242" s="2" t="str">
        <x:v>cumplido</x:v>
      </x:c>
      <x:c r="F242" s="2" t="str">
        <x:v>operador</x:v>
      </x:c>
      <x:c r="G242" s="15" t="d">
        <x:v>2026-08-04T00:00:00.000Z</x:v>
      </x:c>
      <x:c r="H242" s="2" t="str">
        <x:v>evidencias/FAC-2-0021-aceptacion_sii.pdf</x:v>
      </x:c>
    </x:row>
    <x:row r="243">
      <x:c r="A243" s="2" t="str">
        <x:v>CHK-00242</x:v>
      </x:c>
      <x:c r="B243" s="2" t="str">
        <x:v>FAC-2-0021</x:v>
      </x:c>
      <x:c r="C243" s="2" t="str">
        <x:v>76543210-3</x:v>
      </x:c>
      <x:c r="D243" s="2" t="str">
        <x:v>orden_compra</x:v>
      </x:c>
      <x:c r="E243" s="2" t="str">
        <x:v>pendiente</x:v>
      </x:c>
      <x:c r="F243" s="2" t="str">
        <x:v>pagador</x:v>
      </x:c>
      <x:c r="G243" s="15" t="d">
        <x:v>2026-08-04T00:00:00.000Z</x:v>
      </x:c>
      <x:c r="H243" s="2" t="str"/>
    </x:row>
    <x:row r="244">
      <x:c r="A244" s="2" t="str">
        <x:v>CHK-00243</x:v>
      </x:c>
      <x:c r="B244" s="2" t="str">
        <x:v>FAC-2-0021</x:v>
      </x:c>
      <x:c r="C244" s="2" t="str">
        <x:v>76543210-3</x:v>
      </x:c>
      <x:c r="D244" s="2" t="str">
        <x:v>hes_conformidad</x:v>
      </x:c>
      <x:c r="E244" s="2" t="str">
        <x:v>cumplido</x:v>
      </x:c>
      <x:c r="F244" s="2" t="str">
        <x:v>pagador</x:v>
      </x:c>
      <x:c r="G244" s="15" t="d">
        <x:v>2026-08-04T00:00:00.000Z</x:v>
      </x:c>
      <x:c r="H244" s="2" t="str">
        <x:v>evidencias/FAC-2-0021-hes_conformidad.pdf</x:v>
      </x:c>
    </x:row>
    <x:row r="245">
      <x:c r="A245" s="2" t="str">
        <x:v>CHK-00244</x:v>
      </x:c>
      <x:c r="B245" s="2" t="str">
        <x:v>FAC-2-0021</x:v>
      </x:c>
      <x:c r="C245" s="2" t="str">
        <x:v>76543210-3</x:v>
      </x:c>
      <x:c r="D245" s="2" t="str">
        <x:v>portal_proveedor</x:v>
      </x:c>
      <x:c r="E245" s="2" t="str">
        <x:v>cumplido</x:v>
      </x:c>
      <x:c r="F245" s="2" t="str">
        <x:v>operador</x:v>
      </x:c>
      <x:c r="G245" s="15" t="d">
        <x:v>2026-08-04T00:00:00.000Z</x:v>
      </x:c>
      <x:c r="H245" s="2" t="str">
        <x:v>evidencias/FAC-2-0021-portal_proveedor.pdf</x:v>
      </x:c>
    </x:row>
    <x:row r="246">
      <x:c r="A246" s="2" t="str">
        <x:v>CHK-00245</x:v>
      </x:c>
      <x:c r="B246" s="2" t="str">
        <x:v>FAC-2-0022</x:v>
      </x:c>
      <x:c r="C246" s="2" t="str">
        <x:v>76543210-3</x:v>
      </x:c>
      <x:c r="D246" s="2" t="str">
        <x:v>aceptacion_sii</x:v>
      </x:c>
      <x:c r="E246" s="2" t="str">
        <x:v>cumplido</x:v>
      </x:c>
      <x:c r="F246" s="2" t="str">
        <x:v>operador</x:v>
      </x:c>
      <x:c r="G246" s="15" t="d">
        <x:v>2026-08-07T00:00:00.000Z</x:v>
      </x:c>
      <x:c r="H246" s="2" t="str">
        <x:v>evidencias/FAC-2-0022-aceptacion_sii.pdf</x:v>
      </x:c>
    </x:row>
    <x:row r="247">
      <x:c r="A247" s="2" t="str">
        <x:v>CHK-00246</x:v>
      </x:c>
      <x:c r="B247" s="2" t="str">
        <x:v>FAC-2-0022</x:v>
      </x:c>
      <x:c r="C247" s="2" t="str">
        <x:v>76543210-3</x:v>
      </x:c>
      <x:c r="D247" s="2" t="str">
        <x:v>orden_compra</x:v>
      </x:c>
      <x:c r="E247" s="2" t="str">
        <x:v>cumplido</x:v>
      </x:c>
      <x:c r="F247" s="2" t="str">
        <x:v>pagador</x:v>
      </x:c>
      <x:c r="G247" s="15" t="d">
        <x:v>2026-08-07T00:00:00.000Z</x:v>
      </x:c>
      <x:c r="H247" s="2" t="str">
        <x:v>evidencias/FAC-2-0022-orden_compra.pdf</x:v>
      </x:c>
    </x:row>
    <x:row r="248">
      <x:c r="A248" s="2" t="str">
        <x:v>CHK-00247</x:v>
      </x:c>
      <x:c r="B248" s="2" t="str">
        <x:v>FAC-2-0022</x:v>
      </x:c>
      <x:c r="C248" s="2" t="str">
        <x:v>76543210-3</x:v>
      </x:c>
      <x:c r="D248" s="2" t="str">
        <x:v>hes_conformidad</x:v>
      </x:c>
      <x:c r="E248" s="2" t="str">
        <x:v>cumplido</x:v>
      </x:c>
      <x:c r="F248" s="2" t="str">
        <x:v>pagador</x:v>
      </x:c>
      <x:c r="G248" s="15" t="d">
        <x:v>2026-08-07T00:00:00.000Z</x:v>
      </x:c>
      <x:c r="H248" s="2" t="str">
        <x:v>evidencias/FAC-2-0022-hes_conformidad.pdf</x:v>
      </x:c>
    </x:row>
    <x:row r="249">
      <x:c r="A249" s="2" t="str">
        <x:v>CHK-00248</x:v>
      </x:c>
      <x:c r="B249" s="2" t="str">
        <x:v>FAC-2-0022</x:v>
      </x:c>
      <x:c r="C249" s="2" t="str">
        <x:v>76543210-3</x:v>
      </x:c>
      <x:c r="D249" s="2" t="str">
        <x:v>portal_proveedor</x:v>
      </x:c>
      <x:c r="E249" s="2" t="str">
        <x:v>cumplido</x:v>
      </x:c>
      <x:c r="F249" s="2" t="str">
        <x:v>operador</x:v>
      </x:c>
      <x:c r="G249" s="15" t="d">
        <x:v>2026-08-07T00:00:00.000Z</x:v>
      </x:c>
      <x:c r="H249" s="2" t="str">
        <x:v>evidencias/FAC-2-0022-portal_proveedor.pdf</x:v>
      </x:c>
    </x:row>
    <x:row r="250">
      <x:c r="A250" s="2" t="str">
        <x:v>CHK-00249</x:v>
      </x:c>
      <x:c r="B250" s="2" t="str">
        <x:v>FAC-2-0023</x:v>
      </x:c>
      <x:c r="C250" s="2" t="str">
        <x:v>76543210-3</x:v>
      </x:c>
      <x:c r="D250" s="2" t="str">
        <x:v>aceptacion_sii</x:v>
      </x:c>
      <x:c r="E250" s="2" t="str">
        <x:v>reclamado</x:v>
      </x:c>
      <x:c r="F250" s="2" t="str">
        <x:v>operador</x:v>
      </x:c>
      <x:c r="G250" s="15" t="d">
        <x:v>2026-08-08T00:00:00.000Z</x:v>
      </x:c>
      <x:c r="H250" s="2" t="str"/>
    </x:row>
    <x:row r="251">
      <x:c r="A251" s="2" t="str">
        <x:v>CHK-00250</x:v>
      </x:c>
      <x:c r="B251" s="2" t="str">
        <x:v>FAC-2-0023</x:v>
      </x:c>
      <x:c r="C251" s="2" t="str">
        <x:v>76543210-3</x:v>
      </x:c>
      <x:c r="D251" s="2" t="str">
        <x:v>orden_compra</x:v>
      </x:c>
      <x:c r="E251" s="2" t="str">
        <x:v>cumplido</x:v>
      </x:c>
      <x:c r="F251" s="2" t="str">
        <x:v>pagador</x:v>
      </x:c>
      <x:c r="G251" s="15" t="d">
        <x:v>2026-08-08T00:00:00.000Z</x:v>
      </x:c>
      <x:c r="H251" s="2" t="str">
        <x:v>evidencias/FAC-2-0023-orden_compra.pdf</x:v>
      </x:c>
    </x:row>
    <x:row r="252">
      <x:c r="A252" s="2" t="str">
        <x:v>CHK-00251</x:v>
      </x:c>
      <x:c r="B252" s="2" t="str">
        <x:v>FAC-2-0023</x:v>
      </x:c>
      <x:c r="C252" s="2" t="str">
        <x:v>76543210-3</x:v>
      </x:c>
      <x:c r="D252" s="2" t="str">
        <x:v>hes_conformidad</x:v>
      </x:c>
      <x:c r="E252" s="2" t="str">
        <x:v>no_aplica</x:v>
      </x:c>
      <x:c r="F252" s="2" t="str">
        <x:v>sistema</x:v>
      </x:c>
      <x:c r="G252" s="15" t="d">
        <x:v>2026-08-08T00:00:00.000Z</x:v>
      </x:c>
      <x:c r="H252" s="2" t="str"/>
    </x:row>
    <x:row r="253">
      <x:c r="A253" s="2" t="str">
        <x:v>CHK-00252</x:v>
      </x:c>
      <x:c r="B253" s="2" t="str">
        <x:v>FAC-2-0023</x:v>
      </x:c>
      <x:c r="C253" s="2" t="str">
        <x:v>76543210-3</x:v>
      </x:c>
      <x:c r="D253" s="2" t="str">
        <x:v>portal_proveedor</x:v>
      </x:c>
      <x:c r="E253" s="2" t="str">
        <x:v>no_aplica</x:v>
      </x:c>
      <x:c r="F253" s="2" t="str">
        <x:v>sistema</x:v>
      </x:c>
      <x:c r="G253" s="15" t="d">
        <x:v>2026-08-08T00:00:00.000Z</x:v>
      </x:c>
      <x:c r="H253" s="2" t="str"/>
    </x:row>
    <x:row r="254">
      <x:c r="A254" s="2" t="str">
        <x:v>CHK-00253</x:v>
      </x:c>
      <x:c r="B254" s="2" t="str">
        <x:v>FAC-2-0024</x:v>
      </x:c>
      <x:c r="C254" s="2" t="str">
        <x:v>76543210-3</x:v>
      </x:c>
      <x:c r="D254" s="2" t="str">
        <x:v>aceptacion_sii</x:v>
      </x:c>
      <x:c r="E254" s="2" t="str">
        <x:v>cumplido</x:v>
      </x:c>
      <x:c r="F254" s="2" t="str">
        <x:v>operador</x:v>
      </x:c>
      <x:c r="G254" s="15" t="d">
        <x:v>2026-08-13T00:00:00.000Z</x:v>
      </x:c>
      <x:c r="H254" s="2" t="str">
        <x:v>evidencias/FAC-2-0024-aceptacion_sii.pdf</x:v>
      </x:c>
    </x:row>
    <x:row r="255">
      <x:c r="A255" s="2" t="str">
        <x:v>CHK-00254</x:v>
      </x:c>
      <x:c r="B255" s="2" t="str">
        <x:v>FAC-2-0024</x:v>
      </x:c>
      <x:c r="C255" s="2" t="str">
        <x:v>76543210-3</x:v>
      </x:c>
      <x:c r="D255" s="2" t="str">
        <x:v>orden_compra</x:v>
      </x:c>
      <x:c r="E255" s="2" t="str">
        <x:v>cumplido</x:v>
      </x:c>
      <x:c r="F255" s="2" t="str">
        <x:v>pagador</x:v>
      </x:c>
      <x:c r="G255" s="15" t="d">
        <x:v>2026-08-13T00:00:00.000Z</x:v>
      </x:c>
      <x:c r="H255" s="2" t="str">
        <x:v>evidencias/FAC-2-0024-orden_compra.pdf</x:v>
      </x:c>
    </x:row>
    <x:row r="256">
      <x:c r="A256" s="2" t="str">
        <x:v>CHK-00255</x:v>
      </x:c>
      <x:c r="B256" s="2" t="str">
        <x:v>FAC-2-0024</x:v>
      </x:c>
      <x:c r="C256" s="2" t="str">
        <x:v>76543210-3</x:v>
      </x:c>
      <x:c r="D256" s="2" t="str">
        <x:v>hes_conformidad</x:v>
      </x:c>
      <x:c r="E256" s="2" t="str">
        <x:v>cumplido</x:v>
      </x:c>
      <x:c r="F256" s="2" t="str">
        <x:v>pagador</x:v>
      </x:c>
      <x:c r="G256" s="15" t="d">
        <x:v>2026-08-13T00:00:00.000Z</x:v>
      </x:c>
      <x:c r="H256" s="2" t="str">
        <x:v>evidencias/FAC-2-0024-hes_conformidad.pdf</x:v>
      </x:c>
    </x:row>
    <x:row r="257">
      <x:c r="A257" s="2" t="str">
        <x:v>CHK-00256</x:v>
      </x:c>
      <x:c r="B257" s="2" t="str">
        <x:v>FAC-2-0024</x:v>
      </x:c>
      <x:c r="C257" s="2" t="str">
        <x:v>76543210-3</x:v>
      </x:c>
      <x:c r="D257" s="2" t="str">
        <x:v>portal_proveedor</x:v>
      </x:c>
      <x:c r="E257" s="2" t="str">
        <x:v>cumplido</x:v>
      </x:c>
      <x:c r="F257" s="2" t="str">
        <x:v>operador</x:v>
      </x:c>
      <x:c r="G257" s="15" t="d">
        <x:v>2026-08-13T00:00:00.000Z</x:v>
      </x:c>
      <x:c r="H257" s="2" t="str">
        <x:v>evidencias/FAC-2-0024-portal_proveedor.pdf</x:v>
      </x:c>
    </x:row>
    <x:row r="258">
      <x:c r="A258" s="2" t="str">
        <x:v>CHK-00257</x:v>
      </x:c>
      <x:c r="B258" s="2" t="str">
        <x:v>FAC-2-0025</x:v>
      </x:c>
      <x:c r="C258" s="2" t="str">
        <x:v>76543210-3</x:v>
      </x:c>
      <x:c r="D258" s="2" t="str">
        <x:v>aceptacion_sii</x:v>
      </x:c>
      <x:c r="E258" s="2" t="str">
        <x:v>cumplido</x:v>
      </x:c>
      <x:c r="F258" s="2" t="str">
        <x:v>operador</x:v>
      </x:c>
      <x:c r="G258" s="15" t="d">
        <x:v>2026-10-03T00:00:00.000Z</x:v>
      </x:c>
      <x:c r="H258" s="2" t="str">
        <x:v>evidencias/FAC-2-0025-aceptacion_sii.pdf</x:v>
      </x:c>
    </x:row>
    <x:row r="259">
      <x:c r="A259" s="2" t="str">
        <x:v>CHK-00258</x:v>
      </x:c>
      <x:c r="B259" s="2" t="str">
        <x:v>FAC-2-0025</x:v>
      </x:c>
      <x:c r="C259" s="2" t="str">
        <x:v>76543210-3</x:v>
      </x:c>
      <x:c r="D259" s="2" t="str">
        <x:v>orden_compra</x:v>
      </x:c>
      <x:c r="E259" s="2" t="str">
        <x:v>no_aplica</x:v>
      </x:c>
      <x:c r="F259" s="2" t="str">
        <x:v>sistema</x:v>
      </x:c>
      <x:c r="G259" s="15" t="d">
        <x:v>2026-10-03T00:00:00.000Z</x:v>
      </x:c>
      <x:c r="H259" s="2" t="str"/>
    </x:row>
    <x:row r="260">
      <x:c r="A260" s="2" t="str">
        <x:v>CHK-00259</x:v>
      </x:c>
      <x:c r="B260" s="2" t="str">
        <x:v>FAC-2-0025</x:v>
      </x:c>
      <x:c r="C260" s="2" t="str">
        <x:v>76543210-3</x:v>
      </x:c>
      <x:c r="D260" s="2" t="str">
        <x:v>hes_conformidad</x:v>
      </x:c>
      <x:c r="E260" s="2" t="str">
        <x:v>cumplido</x:v>
      </x:c>
      <x:c r="F260" s="2" t="str">
        <x:v>pagador</x:v>
      </x:c>
      <x:c r="G260" s="15" t="d">
        <x:v>2026-10-03T00:00:00.000Z</x:v>
      </x:c>
      <x:c r="H260" s="2" t="str">
        <x:v>evidencias/FAC-2-0025-hes_conformidad.pdf</x:v>
      </x:c>
    </x:row>
    <x:row r="261">
      <x:c r="A261" s="2" t="str">
        <x:v>CHK-00260</x:v>
      </x:c>
      <x:c r="B261" s="2" t="str">
        <x:v>FAC-2-0025</x:v>
      </x:c>
      <x:c r="C261" s="2" t="str">
        <x:v>76543210-3</x:v>
      </x:c>
      <x:c r="D261" s="2" t="str">
        <x:v>portal_proveedor</x:v>
      </x:c>
      <x:c r="E261" s="2" t="str">
        <x:v>cumplido</x:v>
      </x:c>
      <x:c r="F261" s="2" t="str">
        <x:v>operador</x:v>
      </x:c>
      <x:c r="G261" s="15" t="d">
        <x:v>2026-10-03T00:00:00.000Z</x:v>
      </x:c>
      <x:c r="H261" s="2" t="str">
        <x:v>evidencias/FAC-2-0025-portal_proveedor.pdf</x:v>
      </x:c>
    </x:row>
    <x:row r="262">
      <x:c r="A262" s="2" t="str">
        <x:v>CHK-00261</x:v>
      </x:c>
      <x:c r="B262" s="2" t="str">
        <x:v>FAC-2-0026</x:v>
      </x:c>
      <x:c r="C262" s="2" t="str">
        <x:v>76543210-3</x:v>
      </x:c>
      <x:c r="D262" s="2" t="str">
        <x:v>aceptacion_sii</x:v>
      </x:c>
      <x:c r="E262" s="2" t="str">
        <x:v>cumplido</x:v>
      </x:c>
      <x:c r="F262" s="2" t="str">
        <x:v>operador</x:v>
      </x:c>
      <x:c r="G262" s="15" t="d">
        <x:v>2026-09-30T00:00:00.000Z</x:v>
      </x:c>
      <x:c r="H262" s="2" t="str">
        <x:v>evidencias/FAC-2-0026-aceptacion_sii.pdf</x:v>
      </x:c>
    </x:row>
    <x:row r="263">
      <x:c r="A263" s="2" t="str">
        <x:v>CHK-00262</x:v>
      </x:c>
      <x:c r="B263" s="2" t="str">
        <x:v>FAC-2-0026</x:v>
      </x:c>
      <x:c r="C263" s="2" t="str">
        <x:v>76543210-3</x:v>
      </x:c>
      <x:c r="D263" s="2" t="str">
        <x:v>orden_compra</x:v>
      </x:c>
      <x:c r="E263" s="2" t="str">
        <x:v>cumplido</x:v>
      </x:c>
      <x:c r="F263" s="2" t="str">
        <x:v>pagador</x:v>
      </x:c>
      <x:c r="G263" s="15" t="d">
        <x:v>2026-09-30T00:00:00.000Z</x:v>
      </x:c>
      <x:c r="H263" s="2" t="str">
        <x:v>evidencias/FAC-2-0026-orden_compra.pdf</x:v>
      </x:c>
    </x:row>
    <x:row r="264">
      <x:c r="A264" s="2" t="str">
        <x:v>CHK-00263</x:v>
      </x:c>
      <x:c r="B264" s="2" t="str">
        <x:v>FAC-2-0026</x:v>
      </x:c>
      <x:c r="C264" s="2" t="str">
        <x:v>76543210-3</x:v>
      </x:c>
      <x:c r="D264" s="2" t="str">
        <x:v>hes_conformidad</x:v>
      </x:c>
      <x:c r="E264" s="2" t="str">
        <x:v>cumplido</x:v>
      </x:c>
      <x:c r="F264" s="2" t="str">
        <x:v>pagador</x:v>
      </x:c>
      <x:c r="G264" s="15" t="d">
        <x:v>2026-09-30T00:00:00.000Z</x:v>
      </x:c>
      <x:c r="H264" s="2" t="str">
        <x:v>evidencias/FAC-2-0026-hes_conformidad.pdf</x:v>
      </x:c>
    </x:row>
    <x:row r="265">
      <x:c r="A265" s="2" t="str">
        <x:v>CHK-00264</x:v>
      </x:c>
      <x:c r="B265" s="2" t="str">
        <x:v>FAC-2-0026</x:v>
      </x:c>
      <x:c r="C265" s="2" t="str">
        <x:v>76543210-3</x:v>
      </x:c>
      <x:c r="D265" s="2" t="str">
        <x:v>portal_proveedor</x:v>
      </x:c>
      <x:c r="E265" s="2" t="str">
        <x:v>cumplido</x:v>
      </x:c>
      <x:c r="F265" s="2" t="str">
        <x:v>operador</x:v>
      </x:c>
      <x:c r="G265" s="15" t="d">
        <x:v>2026-09-30T00:00:00.000Z</x:v>
      </x:c>
      <x:c r="H265" s="2" t="str">
        <x:v>evidencias/FAC-2-0026-portal_proveedor.pdf</x:v>
      </x:c>
    </x:row>
    <x:row r="266">
      <x:c r="A266" s="2" t="str">
        <x:v>CHK-00265</x:v>
      </x:c>
      <x:c r="B266" s="2" t="str">
        <x:v>FAC-2-0027</x:v>
      </x:c>
      <x:c r="C266" s="2" t="str">
        <x:v>76543210-3</x:v>
      </x:c>
      <x:c r="D266" s="2" t="str">
        <x:v>aceptacion_sii</x:v>
      </x:c>
      <x:c r="E266" s="2" t="str">
        <x:v>cumplido</x:v>
      </x:c>
      <x:c r="F266" s="2" t="str">
        <x:v>operador</x:v>
      </x:c>
      <x:c r="G266" s="15" t="d">
        <x:v>2026-08-22T00:00:00.000Z</x:v>
      </x:c>
      <x:c r="H266" s="2" t="str">
        <x:v>evidencias/FAC-2-0027-aceptacion_sii.pdf</x:v>
      </x:c>
    </x:row>
    <x:row r="267">
      <x:c r="A267" s="2" t="str">
        <x:v>CHK-00266</x:v>
      </x:c>
      <x:c r="B267" s="2" t="str">
        <x:v>FAC-2-0027</x:v>
      </x:c>
      <x:c r="C267" s="2" t="str">
        <x:v>76543210-3</x:v>
      </x:c>
      <x:c r="D267" s="2" t="str">
        <x:v>orden_compra</x:v>
      </x:c>
      <x:c r="E267" s="2" t="str">
        <x:v>cumplido</x:v>
      </x:c>
      <x:c r="F267" s="2" t="str">
        <x:v>pagador</x:v>
      </x:c>
      <x:c r="G267" s="15" t="d">
        <x:v>2026-08-22T00:00:00.000Z</x:v>
      </x:c>
      <x:c r="H267" s="2" t="str">
        <x:v>evidencias/FAC-2-0027-orden_compra.pdf</x:v>
      </x:c>
    </x:row>
    <x:row r="268">
      <x:c r="A268" s="2" t="str">
        <x:v>CHK-00267</x:v>
      </x:c>
      <x:c r="B268" s="2" t="str">
        <x:v>FAC-2-0027</x:v>
      </x:c>
      <x:c r="C268" s="2" t="str">
        <x:v>76543210-3</x:v>
      </x:c>
      <x:c r="D268" s="2" t="str">
        <x:v>hes_conformidad</x:v>
      </x:c>
      <x:c r="E268" s="2" t="str">
        <x:v>cumplido</x:v>
      </x:c>
      <x:c r="F268" s="2" t="str">
        <x:v>pagador</x:v>
      </x:c>
      <x:c r="G268" s="15" t="d">
        <x:v>2026-08-22T00:00:00.000Z</x:v>
      </x:c>
      <x:c r="H268" s="2" t="str">
        <x:v>evidencias/FAC-2-0027-hes_conformidad.pdf</x:v>
      </x:c>
    </x:row>
    <x:row r="269">
      <x:c r="A269" s="2" t="str">
        <x:v>CHK-00268</x:v>
      </x:c>
      <x:c r="B269" s="2" t="str">
        <x:v>FAC-2-0027</x:v>
      </x:c>
      <x:c r="C269" s="2" t="str">
        <x:v>76543210-3</x:v>
      </x:c>
      <x:c r="D269" s="2" t="str">
        <x:v>portal_proveedor</x:v>
      </x:c>
      <x:c r="E269" s="2" t="str">
        <x:v>cumplido</x:v>
      </x:c>
      <x:c r="F269" s="2" t="str">
        <x:v>operador</x:v>
      </x:c>
      <x:c r="G269" s="15" t="d">
        <x:v>2026-08-22T00:00:00.000Z</x:v>
      </x:c>
      <x:c r="H269" s="2" t="str">
        <x:v>evidencias/FAC-2-0027-portal_proveedor.pdf</x:v>
      </x:c>
    </x:row>
    <x:row r="270">
      <x:c r="A270" s="2" t="str">
        <x:v>CHK-00269</x:v>
      </x:c>
      <x:c r="B270" s="2" t="str">
        <x:v>FAC-2-0028</x:v>
      </x:c>
      <x:c r="C270" s="2" t="str">
        <x:v>76543210-3</x:v>
      </x:c>
      <x:c r="D270" s="2" t="str">
        <x:v>aceptacion_sii</x:v>
      </x:c>
      <x:c r="E270" s="2" t="str">
        <x:v>cumplido</x:v>
      </x:c>
      <x:c r="F270" s="2" t="str">
        <x:v>operador</x:v>
      </x:c>
      <x:c r="G270" s="15" t="d">
        <x:v>2026-09-18T00:00:00.000Z</x:v>
      </x:c>
      <x:c r="H270" s="2" t="str">
        <x:v>evidencias/FAC-2-0028-aceptacion_sii.pdf</x:v>
      </x:c>
    </x:row>
    <x:row r="271">
      <x:c r="A271" s="2" t="str">
        <x:v>CHK-00270</x:v>
      </x:c>
      <x:c r="B271" s="2" t="str">
        <x:v>FAC-2-0028</x:v>
      </x:c>
      <x:c r="C271" s="2" t="str">
        <x:v>76543210-3</x:v>
      </x:c>
      <x:c r="D271" s="2" t="str">
        <x:v>orden_compra</x:v>
      </x:c>
      <x:c r="E271" s="2" t="str">
        <x:v>cumplido</x:v>
      </x:c>
      <x:c r="F271" s="2" t="str">
        <x:v>pagador</x:v>
      </x:c>
      <x:c r="G271" s="15" t="d">
        <x:v>2026-09-18T00:00:00.000Z</x:v>
      </x:c>
      <x:c r="H271" s="2" t="str">
        <x:v>evidencias/FAC-2-0028-orden_compra.pdf</x:v>
      </x:c>
    </x:row>
    <x:row r="272">
      <x:c r="A272" s="2" t="str">
        <x:v>CHK-00271</x:v>
      </x:c>
      <x:c r="B272" s="2" t="str">
        <x:v>FAC-2-0028</x:v>
      </x:c>
      <x:c r="C272" s="2" t="str">
        <x:v>76543210-3</x:v>
      </x:c>
      <x:c r="D272" s="2" t="str">
        <x:v>hes_conformidad</x:v>
      </x:c>
      <x:c r="E272" s="2" t="str">
        <x:v>no_aplica</x:v>
      </x:c>
      <x:c r="F272" s="2" t="str">
        <x:v>sistema</x:v>
      </x:c>
      <x:c r="G272" s="15" t="d">
        <x:v>2026-09-18T00:00:00.000Z</x:v>
      </x:c>
      <x:c r="H272" s="2" t="str"/>
    </x:row>
    <x:row r="273">
      <x:c r="A273" s="2" t="str">
        <x:v>CHK-00272</x:v>
      </x:c>
      <x:c r="B273" s="2" t="str">
        <x:v>FAC-2-0028</x:v>
      </x:c>
      <x:c r="C273" s="2" t="str">
        <x:v>76543210-3</x:v>
      </x:c>
      <x:c r="D273" s="2" t="str">
        <x:v>portal_proveedor</x:v>
      </x:c>
      <x:c r="E273" s="2" t="str">
        <x:v>no_aplica</x:v>
      </x:c>
      <x:c r="F273" s="2" t="str">
        <x:v>sistema</x:v>
      </x:c>
      <x:c r="G273" s="15" t="d">
        <x:v>2026-09-18T00:00:00.000Z</x:v>
      </x:c>
      <x:c r="H273" s="2" t="str"/>
    </x:row>
    <x:row r="274">
      <x:c r="A274" s="2" t="str">
        <x:v>CHK-00273</x:v>
      </x:c>
      <x:c r="B274" s="2" t="str">
        <x:v>FAC-2-0029</x:v>
      </x:c>
      <x:c r="C274" s="2" t="str">
        <x:v>76543210-3</x:v>
      </x:c>
      <x:c r="D274" s="2" t="str">
        <x:v>aceptacion_sii</x:v>
      </x:c>
      <x:c r="E274" s="2" t="str">
        <x:v>cumplido</x:v>
      </x:c>
      <x:c r="F274" s="2" t="str">
        <x:v>operador</x:v>
      </x:c>
      <x:c r="G274" s="15" t="d">
        <x:v>2026-08-28T00:00:00.000Z</x:v>
      </x:c>
      <x:c r="H274" s="2" t="str">
        <x:v>evidencias/FAC-2-0029-aceptacion_sii.pdf</x:v>
      </x:c>
    </x:row>
    <x:row r="275">
      <x:c r="A275" s="2" t="str">
        <x:v>CHK-00274</x:v>
      </x:c>
      <x:c r="B275" s="2" t="str">
        <x:v>FAC-2-0029</x:v>
      </x:c>
      <x:c r="C275" s="2" t="str">
        <x:v>76543210-3</x:v>
      </x:c>
      <x:c r="D275" s="2" t="str">
        <x:v>orden_compra</x:v>
      </x:c>
      <x:c r="E275" s="2" t="str">
        <x:v>cumplido</x:v>
      </x:c>
      <x:c r="F275" s="2" t="str">
        <x:v>pagador</x:v>
      </x:c>
      <x:c r="G275" s="15" t="d">
        <x:v>2026-08-28T00:00:00.000Z</x:v>
      </x:c>
      <x:c r="H275" s="2" t="str">
        <x:v>evidencias/FAC-2-0029-orden_compra.pdf</x:v>
      </x:c>
    </x:row>
    <x:row r="276">
      <x:c r="A276" s="2" t="str">
        <x:v>CHK-00275</x:v>
      </x:c>
      <x:c r="B276" s="2" t="str">
        <x:v>FAC-2-0029</x:v>
      </x:c>
      <x:c r="C276" s="2" t="str">
        <x:v>76543210-3</x:v>
      </x:c>
      <x:c r="D276" s="2" t="str">
        <x:v>hes_conformidad</x:v>
      </x:c>
      <x:c r="E276" s="2" t="str">
        <x:v>solicitado</x:v>
      </x:c>
      <x:c r="F276" s="2" t="str">
        <x:v>pagador</x:v>
      </x:c>
      <x:c r="G276" s="15" t="d">
        <x:v>2026-08-28T00:00:00.000Z</x:v>
      </x:c>
      <x:c r="H276" s="2" t="str"/>
    </x:row>
    <x:row r="277">
      <x:c r="A277" s="2" t="str">
        <x:v>CHK-00276</x:v>
      </x:c>
      <x:c r="B277" s="2" t="str">
        <x:v>FAC-2-0029</x:v>
      </x:c>
      <x:c r="C277" s="2" t="str">
        <x:v>76543210-3</x:v>
      </x:c>
      <x:c r="D277" s="2" t="str">
        <x:v>portal_proveedor</x:v>
      </x:c>
      <x:c r="E277" s="2" t="str">
        <x:v>cumplido</x:v>
      </x:c>
      <x:c r="F277" s="2" t="str">
        <x:v>operador</x:v>
      </x:c>
      <x:c r="G277" s="15" t="d">
        <x:v>2026-08-28T00:00:00.000Z</x:v>
      </x:c>
      <x:c r="H277" s="2" t="str">
        <x:v>evidencias/FAC-2-0029-portal_proveedor.pdf</x:v>
      </x:c>
    </x:row>
    <x:row r="278">
      <x:c r="A278" s="2" t="str">
        <x:v>CHK-00277</x:v>
      </x:c>
      <x:c r="B278" s="2" t="str">
        <x:v>FAC-2-0030</x:v>
      </x:c>
      <x:c r="C278" s="2" t="str">
        <x:v>76543210-3</x:v>
      </x:c>
      <x:c r="D278" s="2" t="str">
        <x:v>aceptacion_sii</x:v>
      </x:c>
      <x:c r="E278" s="2" t="str">
        <x:v>cumplido</x:v>
      </x:c>
      <x:c r="F278" s="2" t="str">
        <x:v>operador</x:v>
      </x:c>
      <x:c r="G278" s="15" t="d">
        <x:v>2026-10-06T00:00:00.000Z</x:v>
      </x:c>
      <x:c r="H278" s="2" t="str">
        <x:v>evidencias/FAC-2-0030-aceptacion_sii.pdf</x:v>
      </x:c>
    </x:row>
    <x:row r="279">
      <x:c r="A279" s="2" t="str">
        <x:v>CHK-00278</x:v>
      </x:c>
      <x:c r="B279" s="2" t="str">
        <x:v>FAC-2-0030</x:v>
      </x:c>
      <x:c r="C279" s="2" t="str">
        <x:v>76543210-3</x:v>
      </x:c>
      <x:c r="D279" s="2" t="str">
        <x:v>orden_compra</x:v>
      </x:c>
      <x:c r="E279" s="2" t="str">
        <x:v>no_aplica</x:v>
      </x:c>
      <x:c r="F279" s="2" t="str">
        <x:v>sistema</x:v>
      </x:c>
      <x:c r="G279" s="15" t="d">
        <x:v>2026-10-06T00:00:00.000Z</x:v>
      </x:c>
      <x:c r="H279" s="2" t="str"/>
    </x:row>
    <x:row r="280">
      <x:c r="A280" s="2" t="str">
        <x:v>CHK-00279</x:v>
      </x:c>
      <x:c r="B280" s="2" t="str">
        <x:v>FAC-2-0030</x:v>
      </x:c>
      <x:c r="C280" s="2" t="str">
        <x:v>76543210-3</x:v>
      </x:c>
      <x:c r="D280" s="2" t="str">
        <x:v>hes_conformidad</x:v>
      </x:c>
      <x:c r="E280" s="2" t="str">
        <x:v>cumplido</x:v>
      </x:c>
      <x:c r="F280" s="2" t="str">
        <x:v>pagador</x:v>
      </x:c>
      <x:c r="G280" s="15" t="d">
        <x:v>2026-10-06T00:00:00.000Z</x:v>
      </x:c>
      <x:c r="H280" s="2" t="str">
        <x:v>evidencias/FAC-2-0030-hes_conformidad.pdf</x:v>
      </x:c>
    </x:row>
    <x:row r="281">
      <x:c r="A281" s="2" t="str">
        <x:v>CHK-00280</x:v>
      </x:c>
      <x:c r="B281" s="2" t="str">
        <x:v>FAC-2-0030</x:v>
      </x:c>
      <x:c r="C281" s="2" t="str">
        <x:v>76543210-3</x:v>
      </x:c>
      <x:c r="D281" s="2" t="str">
        <x:v>portal_proveedor</x:v>
      </x:c>
      <x:c r="E281" s="2" t="str">
        <x:v>cumplido</x:v>
      </x:c>
      <x:c r="F281" s="2" t="str">
        <x:v>operador</x:v>
      </x:c>
      <x:c r="G281" s="15" t="d">
        <x:v>2026-10-06T00:00:00.000Z</x:v>
      </x:c>
      <x:c r="H281" s="2" t="str">
        <x:v>evidencias/FAC-2-0030-portal_proveedor.pdf</x:v>
      </x:c>
    </x:row>
    <x:row r="282">
      <x:c r="A282" s="2" t="str">
        <x:v>CHK-00281</x:v>
      </x:c>
      <x:c r="B282" s="2" t="str">
        <x:v>FAC-2-0031</x:v>
      </x:c>
      <x:c r="C282" s="2" t="str">
        <x:v>76543210-3</x:v>
      </x:c>
      <x:c r="D282" s="2" t="str">
        <x:v>aceptacion_sii</x:v>
      </x:c>
      <x:c r="E282" s="2" t="str">
        <x:v>cumplido</x:v>
      </x:c>
      <x:c r="F282" s="2" t="str">
        <x:v>operador</x:v>
      </x:c>
      <x:c r="G282" s="15" t="d">
        <x:v>2026-09-03T00:00:00.000Z</x:v>
      </x:c>
      <x:c r="H282" s="2" t="str">
        <x:v>evidencias/FAC-2-0031-aceptacion_sii.pdf</x:v>
      </x:c>
    </x:row>
    <x:row r="283">
      <x:c r="A283" s="2" t="str">
        <x:v>CHK-00282</x:v>
      </x:c>
      <x:c r="B283" s="2" t="str">
        <x:v>FAC-2-0031</x:v>
      </x:c>
      <x:c r="C283" s="2" t="str">
        <x:v>76543210-3</x:v>
      </x:c>
      <x:c r="D283" s="2" t="str">
        <x:v>orden_compra</x:v>
      </x:c>
      <x:c r="E283" s="2" t="str">
        <x:v>pendiente</x:v>
      </x:c>
      <x:c r="F283" s="2" t="str">
        <x:v>pagador</x:v>
      </x:c>
      <x:c r="G283" s="15" t="d">
        <x:v>2026-09-03T00:00:00.000Z</x:v>
      </x:c>
      <x:c r="H283" s="2" t="str"/>
    </x:row>
    <x:row r="284">
      <x:c r="A284" s="2" t="str">
        <x:v>CHK-00283</x:v>
      </x:c>
      <x:c r="B284" s="2" t="str">
        <x:v>FAC-2-0031</x:v>
      </x:c>
      <x:c r="C284" s="2" t="str">
        <x:v>76543210-3</x:v>
      </x:c>
      <x:c r="D284" s="2" t="str">
        <x:v>hes_conformidad</x:v>
      </x:c>
      <x:c r="E284" s="2" t="str">
        <x:v>cumplido</x:v>
      </x:c>
      <x:c r="F284" s="2" t="str">
        <x:v>pagador</x:v>
      </x:c>
      <x:c r="G284" s="15" t="d">
        <x:v>2026-09-03T00:00:00.000Z</x:v>
      </x:c>
      <x:c r="H284" s="2" t="str">
        <x:v>evidencias/FAC-2-0031-hes_conformidad.pdf</x:v>
      </x:c>
    </x:row>
    <x:row r="285">
      <x:c r="A285" s="2" t="str">
        <x:v>CHK-00284</x:v>
      </x:c>
      <x:c r="B285" s="2" t="str">
        <x:v>FAC-2-0031</x:v>
      </x:c>
      <x:c r="C285" s="2" t="str">
        <x:v>76543210-3</x:v>
      </x:c>
      <x:c r="D285" s="2" t="str">
        <x:v>portal_proveedor</x:v>
      </x:c>
      <x:c r="E285" s="2" t="str">
        <x:v>cumplido</x:v>
      </x:c>
      <x:c r="F285" s="2" t="str">
        <x:v>operador</x:v>
      </x:c>
      <x:c r="G285" s="15" t="d">
        <x:v>2026-09-03T00:00:00.000Z</x:v>
      </x:c>
      <x:c r="H285" s="2" t="str">
        <x:v>evidencias/FAC-2-0031-portal_proveedor.pdf</x:v>
      </x:c>
    </x:row>
    <x:row r="286">
      <x:c r="A286" s="2" t="str">
        <x:v>CHK-00285</x:v>
      </x:c>
      <x:c r="B286" s="2" t="str">
        <x:v>FAC-2-0032</x:v>
      </x:c>
      <x:c r="C286" s="2" t="str">
        <x:v>76543210-3</x:v>
      </x:c>
      <x:c r="D286" s="2" t="str">
        <x:v>aceptacion_sii</x:v>
      </x:c>
      <x:c r="E286" s="2" t="str">
        <x:v>cumplido</x:v>
      </x:c>
      <x:c r="F286" s="2" t="str">
        <x:v>operador</x:v>
      </x:c>
      <x:c r="G286" s="15" t="d">
        <x:v>2026-09-06T00:00:00.000Z</x:v>
      </x:c>
      <x:c r="H286" s="2" t="str">
        <x:v>evidencias/FAC-2-0032-aceptacion_sii.pdf</x:v>
      </x:c>
    </x:row>
    <x:row r="287">
      <x:c r="A287" s="2" t="str">
        <x:v>CHK-00286</x:v>
      </x:c>
      <x:c r="B287" s="2" t="str">
        <x:v>FAC-2-0032</x:v>
      </x:c>
      <x:c r="C287" s="2" t="str">
        <x:v>76543210-3</x:v>
      </x:c>
      <x:c r="D287" s="2" t="str">
        <x:v>orden_compra</x:v>
      </x:c>
      <x:c r="E287" s="2" t="str">
        <x:v>cumplido</x:v>
      </x:c>
      <x:c r="F287" s="2" t="str">
        <x:v>pagador</x:v>
      </x:c>
      <x:c r="G287" s="15" t="d">
        <x:v>2026-09-06T00:00:00.000Z</x:v>
      </x:c>
      <x:c r="H287" s="2" t="str">
        <x:v>evidencias/FAC-2-0032-orden_compra.pdf</x:v>
      </x:c>
    </x:row>
    <x:row r="288">
      <x:c r="A288" s="2" t="str">
        <x:v>CHK-00287</x:v>
      </x:c>
      <x:c r="B288" s="2" t="str">
        <x:v>FAC-2-0032</x:v>
      </x:c>
      <x:c r="C288" s="2" t="str">
        <x:v>76543210-3</x:v>
      </x:c>
      <x:c r="D288" s="2" t="str">
        <x:v>hes_conformidad</x:v>
      </x:c>
      <x:c r="E288" s="2" t="str">
        <x:v>cumplido</x:v>
      </x:c>
      <x:c r="F288" s="2" t="str">
        <x:v>pagador</x:v>
      </x:c>
      <x:c r="G288" s="15" t="d">
        <x:v>2026-09-06T00:00:00.000Z</x:v>
      </x:c>
      <x:c r="H288" s="2" t="str">
        <x:v>evidencias/FAC-2-0032-hes_conformidad.pdf</x:v>
      </x:c>
    </x:row>
    <x:row r="289">
      <x:c r="A289" s="2" t="str">
        <x:v>CHK-00288</x:v>
      </x:c>
      <x:c r="B289" s="2" t="str">
        <x:v>FAC-2-0032</x:v>
      </x:c>
      <x:c r="C289" s="2" t="str">
        <x:v>76543210-3</x:v>
      </x:c>
      <x:c r="D289" s="2" t="str">
        <x:v>portal_proveedor</x:v>
      </x:c>
      <x:c r="E289" s="2" t="str">
        <x:v>cumplido</x:v>
      </x:c>
      <x:c r="F289" s="2" t="str">
        <x:v>operador</x:v>
      </x:c>
      <x:c r="G289" s="15" t="d">
        <x:v>2026-09-06T00:00:00.000Z</x:v>
      </x:c>
      <x:c r="H289" s="2" t="str">
        <x:v>evidencias/FAC-2-0032-portal_proveedor.pdf</x:v>
      </x:c>
    </x:row>
    <x:row r="290">
      <x:c r="A290" s="2" t="str">
        <x:v>CHK-00289</x:v>
      </x:c>
      <x:c r="B290" s="2" t="str">
        <x:v>FAC-2-0033</x:v>
      </x:c>
      <x:c r="C290" s="2" t="str">
        <x:v>76543210-3</x:v>
      </x:c>
      <x:c r="D290" s="2" t="str">
        <x:v>aceptacion_sii</x:v>
      </x:c>
      <x:c r="E290" s="2" t="str">
        <x:v>reclamado</x:v>
      </x:c>
      <x:c r="F290" s="2" t="str">
        <x:v>operador</x:v>
      </x:c>
      <x:c r="G290" s="15" t="d">
        <x:v>2026-09-07T00:00:00.000Z</x:v>
      </x:c>
      <x:c r="H290" s="2" t="str"/>
    </x:row>
    <x:row r="291">
      <x:c r="A291" s="2" t="str">
        <x:v>CHK-00290</x:v>
      </x:c>
      <x:c r="B291" s="2" t="str">
        <x:v>FAC-2-0033</x:v>
      </x:c>
      <x:c r="C291" s="2" t="str">
        <x:v>76543210-3</x:v>
      </x:c>
      <x:c r="D291" s="2" t="str">
        <x:v>orden_compra</x:v>
      </x:c>
      <x:c r="E291" s="2" t="str">
        <x:v>cumplido</x:v>
      </x:c>
      <x:c r="F291" s="2" t="str">
        <x:v>pagador</x:v>
      </x:c>
      <x:c r="G291" s="15" t="d">
        <x:v>2026-09-07T00:00:00.000Z</x:v>
      </x:c>
      <x:c r="H291" s="2" t="str">
        <x:v>evidencias/FAC-2-0033-orden_compra.pdf</x:v>
      </x:c>
    </x:row>
    <x:row r="292">
      <x:c r="A292" s="2" t="str">
        <x:v>CHK-00291</x:v>
      </x:c>
      <x:c r="B292" s="2" t="str">
        <x:v>FAC-2-0033</x:v>
      </x:c>
      <x:c r="C292" s="2" t="str">
        <x:v>76543210-3</x:v>
      </x:c>
      <x:c r="D292" s="2" t="str">
        <x:v>hes_conformidad</x:v>
      </x:c>
      <x:c r="E292" s="2" t="str">
        <x:v>no_aplica</x:v>
      </x:c>
      <x:c r="F292" s="2" t="str">
        <x:v>sistema</x:v>
      </x:c>
      <x:c r="G292" s="15" t="d">
        <x:v>2026-09-07T00:00:00.000Z</x:v>
      </x:c>
      <x:c r="H292" s="2" t="str"/>
    </x:row>
    <x:row r="293">
      <x:c r="A293" s="2" t="str">
        <x:v>CHK-00292</x:v>
      </x:c>
      <x:c r="B293" s="2" t="str">
        <x:v>FAC-2-0033</x:v>
      </x:c>
      <x:c r="C293" s="2" t="str">
        <x:v>76543210-3</x:v>
      </x:c>
      <x:c r="D293" s="2" t="str">
        <x:v>portal_proveedor</x:v>
      </x:c>
      <x:c r="E293" s="2" t="str">
        <x:v>no_aplica</x:v>
      </x:c>
      <x:c r="F293" s="2" t="str">
        <x:v>sistema</x:v>
      </x:c>
      <x:c r="G293" s="15" t="d">
        <x:v>2026-09-07T00:00:00.000Z</x:v>
      </x:c>
      <x:c r="H293" s="2" t="str"/>
    </x:row>
    <x:row r="294">
      <x:c r="A294" s="2" t="str">
        <x:v>CHK-00293</x:v>
      </x:c>
      <x:c r="B294" s="2" t="str">
        <x:v>FAC-2-0034</x:v>
      </x:c>
      <x:c r="C294" s="2" t="str">
        <x:v>76543210-3</x:v>
      </x:c>
      <x:c r="D294" s="2" t="str">
        <x:v>aceptacion_sii</x:v>
      </x:c>
      <x:c r="E294" s="2" t="str">
        <x:v>cumplido</x:v>
      </x:c>
      <x:c r="F294" s="2" t="str">
        <x:v>operador</x:v>
      </x:c>
      <x:c r="G294" s="15" t="d">
        <x:v>2026-09-12T00:00:00.000Z</x:v>
      </x:c>
      <x:c r="H294" s="2" t="str">
        <x:v>evidencias/FAC-2-0034-aceptacion_sii.pdf</x:v>
      </x:c>
    </x:row>
    <x:row r="295">
      <x:c r="A295" s="2" t="str">
        <x:v>CHK-00294</x:v>
      </x:c>
      <x:c r="B295" s="2" t="str">
        <x:v>FAC-2-0034</x:v>
      </x:c>
      <x:c r="C295" s="2" t="str">
        <x:v>76543210-3</x:v>
      </x:c>
      <x:c r="D295" s="2" t="str">
        <x:v>orden_compra</x:v>
      </x:c>
      <x:c r="E295" s="2" t="str">
        <x:v>cumplido</x:v>
      </x:c>
      <x:c r="F295" s="2" t="str">
        <x:v>pagador</x:v>
      </x:c>
      <x:c r="G295" s="15" t="d">
        <x:v>2026-09-12T00:00:00.000Z</x:v>
      </x:c>
      <x:c r="H295" s="2" t="str">
        <x:v>evidencias/FAC-2-0034-orden_compra.pdf</x:v>
      </x:c>
    </x:row>
    <x:row r="296">
      <x:c r="A296" s="2" t="str">
        <x:v>CHK-00295</x:v>
      </x:c>
      <x:c r="B296" s="2" t="str">
        <x:v>FAC-2-0034</x:v>
      </x:c>
      <x:c r="C296" s="2" t="str">
        <x:v>76543210-3</x:v>
      </x:c>
      <x:c r="D296" s="2" t="str">
        <x:v>hes_conformidad</x:v>
      </x:c>
      <x:c r="E296" s="2" t="str">
        <x:v>cumplido</x:v>
      </x:c>
      <x:c r="F296" s="2" t="str">
        <x:v>pagador</x:v>
      </x:c>
      <x:c r="G296" s="15" t="d">
        <x:v>2026-09-12T00:00:00.000Z</x:v>
      </x:c>
      <x:c r="H296" s="2" t="str">
        <x:v>evidencias/FAC-2-0034-hes_conformidad.pdf</x:v>
      </x:c>
    </x:row>
    <x:row r="297">
      <x:c r="A297" s="2" t="str">
        <x:v>CHK-00296</x:v>
      </x:c>
      <x:c r="B297" s="2" t="str">
        <x:v>FAC-2-0034</x:v>
      </x:c>
      <x:c r="C297" s="2" t="str">
        <x:v>76543210-3</x:v>
      </x:c>
      <x:c r="D297" s="2" t="str">
        <x:v>portal_proveedor</x:v>
      </x:c>
      <x:c r="E297" s="2" t="str">
        <x:v>cumplido</x:v>
      </x:c>
      <x:c r="F297" s="2" t="str">
        <x:v>operador</x:v>
      </x:c>
      <x:c r="G297" s="15" t="d">
        <x:v>2026-09-12T00:00:00.000Z</x:v>
      </x:c>
      <x:c r="H297" s="2" t="str">
        <x:v>evidencias/FAC-2-0034-portal_proveedor.pdf</x:v>
      </x:c>
    </x:row>
    <x:row r="298">
      <x:c r="A298" s="2" t="str">
        <x:v>CHK-00297</x:v>
      </x:c>
      <x:c r="B298" s="2" t="str">
        <x:v>FAC-2-0035</x:v>
      </x:c>
      <x:c r="C298" s="2" t="str">
        <x:v>76543210-3</x:v>
      </x:c>
      <x:c r="D298" s="2" t="str">
        <x:v>aceptacion_sii</x:v>
      </x:c>
      <x:c r="E298" s="2" t="str">
        <x:v>cumplido</x:v>
      </x:c>
      <x:c r="F298" s="2" t="str">
        <x:v>operador</x:v>
      </x:c>
      <x:c r="G298" s="15" t="d">
        <x:v>2026-09-15T00:00:00.000Z</x:v>
      </x:c>
      <x:c r="H298" s="2" t="str">
        <x:v>evidencias/FAC-2-0035-aceptacion_sii.pdf</x:v>
      </x:c>
    </x:row>
    <x:row r="299">
      <x:c r="A299" s="2" t="str">
        <x:v>CHK-00298</x:v>
      </x:c>
      <x:c r="B299" s="2" t="str">
        <x:v>FAC-2-0035</x:v>
      </x:c>
      <x:c r="C299" s="2" t="str">
        <x:v>76543210-3</x:v>
      </x:c>
      <x:c r="D299" s="2" t="str">
        <x:v>orden_compra</x:v>
      </x:c>
      <x:c r="E299" s="2" t="str">
        <x:v>no_aplica</x:v>
      </x:c>
      <x:c r="F299" s="2" t="str">
        <x:v>sistema</x:v>
      </x:c>
      <x:c r="G299" s="15" t="d">
        <x:v>2026-09-15T00:00:00.000Z</x:v>
      </x:c>
      <x:c r="H299" s="2" t="str"/>
    </x:row>
    <x:row r="300">
      <x:c r="A300" s="2" t="str">
        <x:v>CHK-00299</x:v>
      </x:c>
      <x:c r="B300" s="2" t="str">
        <x:v>FAC-2-0035</x:v>
      </x:c>
      <x:c r="C300" s="2" t="str">
        <x:v>76543210-3</x:v>
      </x:c>
      <x:c r="D300" s="2" t="str">
        <x:v>hes_conformidad</x:v>
      </x:c>
      <x:c r="E300" s="2" t="str">
        <x:v>cumplido</x:v>
      </x:c>
      <x:c r="F300" s="2" t="str">
        <x:v>pagador</x:v>
      </x:c>
      <x:c r="G300" s="15" t="d">
        <x:v>2026-09-15T00:00:00.000Z</x:v>
      </x:c>
      <x:c r="H300" s="2" t="str">
        <x:v>evidencias/FAC-2-0035-hes_conformidad.pdf</x:v>
      </x:c>
    </x:row>
    <x:row r="301">
      <x:c r="A301" s="2" t="str">
        <x:v>CHK-00300</x:v>
      </x:c>
      <x:c r="B301" s="2" t="str">
        <x:v>FAC-2-0035</x:v>
      </x:c>
      <x:c r="C301" s="2" t="str">
        <x:v>76543210-3</x:v>
      </x:c>
      <x:c r="D301" s="2" t="str">
        <x:v>portal_proveedor</x:v>
      </x:c>
      <x:c r="E301" s="2" t="str">
        <x:v>cumplido</x:v>
      </x:c>
      <x:c r="F301" s="2" t="str">
        <x:v>operador</x:v>
      </x:c>
      <x:c r="G301" s="15" t="d">
        <x:v>2026-09-15T00:00:00.000Z</x:v>
      </x:c>
      <x:c r="H301" s="2" t="str">
        <x:v>evidencias/FAC-2-0035-portal_proveedor.pdf</x:v>
      </x:c>
    </x:row>
    <x:row r="302">
      <x:c r="A302" s="2" t="str">
        <x:v>CHK-00301</x:v>
      </x:c>
      <x:c r="B302" s="2" t="str">
        <x:v>FAC-2-0036</x:v>
      </x:c>
      <x:c r="C302" s="2" t="str">
        <x:v>76543210-3</x:v>
      </x:c>
      <x:c r="D302" s="2" t="str">
        <x:v>aceptacion_sii</x:v>
      </x:c>
      <x:c r="E302" s="2" t="str">
        <x:v>cumplido</x:v>
      </x:c>
      <x:c r="F302" s="2" t="str">
        <x:v>operador</x:v>
      </x:c>
      <x:c r="G302" s="15" t="d">
        <x:v>2026-09-18T00:00:00.000Z</x:v>
      </x:c>
      <x:c r="H302" s="2" t="str">
        <x:v>evidencias/FAC-2-0036-aceptacion_sii.pdf</x:v>
      </x:c>
    </x:row>
    <x:row r="303">
      <x:c r="A303" s="2" t="str">
        <x:v>CHK-00302</x:v>
      </x:c>
      <x:c r="B303" s="2" t="str">
        <x:v>FAC-2-0036</x:v>
      </x:c>
      <x:c r="C303" s="2" t="str">
        <x:v>76543210-3</x:v>
      </x:c>
      <x:c r="D303" s="2" t="str">
        <x:v>orden_compra</x:v>
      </x:c>
      <x:c r="E303" s="2" t="str">
        <x:v>cumplido</x:v>
      </x:c>
      <x:c r="F303" s="2" t="str">
        <x:v>pagador</x:v>
      </x:c>
      <x:c r="G303" s="15" t="d">
        <x:v>2026-09-18T00:00:00.000Z</x:v>
      </x:c>
      <x:c r="H303" s="2" t="str">
        <x:v>evidencias/FAC-2-0036-orden_compra.pdf</x:v>
      </x:c>
    </x:row>
    <x:row r="304">
      <x:c r="A304" s="2" t="str">
        <x:v>CHK-00303</x:v>
      </x:c>
      <x:c r="B304" s="2" t="str">
        <x:v>FAC-2-0036</x:v>
      </x:c>
      <x:c r="C304" s="2" t="str">
        <x:v>76543210-3</x:v>
      </x:c>
      <x:c r="D304" s="2" t="str">
        <x:v>hes_conformidad</x:v>
      </x:c>
      <x:c r="E304" s="2" t="str">
        <x:v>cumplido</x:v>
      </x:c>
      <x:c r="F304" s="2" t="str">
        <x:v>pagador</x:v>
      </x:c>
      <x:c r="G304" s="15" t="d">
        <x:v>2026-09-18T00:00:00.000Z</x:v>
      </x:c>
      <x:c r="H304" s="2" t="str">
        <x:v>evidencias/FAC-2-0036-hes_conformidad.pdf</x:v>
      </x:c>
    </x:row>
    <x:row r="305">
      <x:c r="A305" s="2" t="str">
        <x:v>CHK-00304</x:v>
      </x:c>
      <x:c r="B305" s="2" t="str">
        <x:v>FAC-2-0036</x:v>
      </x:c>
      <x:c r="C305" s="2" t="str">
        <x:v>76543210-3</x:v>
      </x:c>
      <x:c r="D305" s="2" t="str">
        <x:v>portal_proveedor</x:v>
      </x:c>
      <x:c r="E305" s="2" t="str">
        <x:v>cumplido</x:v>
      </x:c>
      <x:c r="F305" s="2" t="str">
        <x:v>operador</x:v>
      </x:c>
      <x:c r="G305" s="15" t="d">
        <x:v>2026-09-18T00:00:00.000Z</x:v>
      </x:c>
      <x:c r="H305" s="2" t="str">
        <x:v>evidencias/FAC-2-0036-portal_proveedor.pdf</x:v>
      </x:c>
    </x:row>
    <x:row r="306">
      <x:c r="A306" s="2" t="str">
        <x:v>CHK-00305</x:v>
      </x:c>
      <x:c r="B306" s="2" t="str">
        <x:v>FAC-2-0037</x:v>
      </x:c>
      <x:c r="C306" s="2" t="str">
        <x:v>76543210-3</x:v>
      </x:c>
      <x:c r="D306" s="2" t="str">
        <x:v>aceptacion_sii</x:v>
      </x:c>
      <x:c r="E306" s="2" t="str">
        <x:v>cumplido</x:v>
      </x:c>
      <x:c r="F306" s="2" t="str">
        <x:v>operador</x:v>
      </x:c>
      <x:c r="G306" s="15" t="d">
        <x:v>2026-09-21T00:00:00.000Z</x:v>
      </x:c>
      <x:c r="H306" s="2" t="str">
        <x:v>evidencias/FAC-2-0037-aceptacion_sii.pdf</x:v>
      </x:c>
    </x:row>
    <x:row r="307">
      <x:c r="A307" s="2" t="str">
        <x:v>CHK-00306</x:v>
      </x:c>
      <x:c r="B307" s="2" t="str">
        <x:v>FAC-2-0037</x:v>
      </x:c>
      <x:c r="C307" s="2" t="str">
        <x:v>76543210-3</x:v>
      </x:c>
      <x:c r="D307" s="2" t="str">
        <x:v>orden_compra</x:v>
      </x:c>
      <x:c r="E307" s="2" t="str">
        <x:v>cumplido</x:v>
      </x:c>
      <x:c r="F307" s="2" t="str">
        <x:v>pagador</x:v>
      </x:c>
      <x:c r="G307" s="15" t="d">
        <x:v>2026-09-21T00:00:00.000Z</x:v>
      </x:c>
      <x:c r="H307" s="2" t="str">
        <x:v>evidencias/FAC-2-0037-orden_compra.pdf</x:v>
      </x:c>
    </x:row>
    <x:row r="308">
      <x:c r="A308" s="2" t="str">
        <x:v>CHK-00307</x:v>
      </x:c>
      <x:c r="B308" s="2" t="str">
        <x:v>FAC-2-0037</x:v>
      </x:c>
      <x:c r="C308" s="2" t="str">
        <x:v>76543210-3</x:v>
      </x:c>
      <x:c r="D308" s="2" t="str">
        <x:v>hes_conformidad</x:v>
      </x:c>
      <x:c r="E308" s="2" t="str">
        <x:v>cumplido</x:v>
      </x:c>
      <x:c r="F308" s="2" t="str">
        <x:v>pagador</x:v>
      </x:c>
      <x:c r="G308" s="15" t="d">
        <x:v>2026-09-21T00:00:00.000Z</x:v>
      </x:c>
      <x:c r="H308" s="2" t="str">
        <x:v>evidencias/FAC-2-0037-hes_conformidad.pdf</x:v>
      </x:c>
    </x:row>
    <x:row r="309">
      <x:c r="A309" s="2" t="str">
        <x:v>CHK-00308</x:v>
      </x:c>
      <x:c r="B309" s="2" t="str">
        <x:v>FAC-2-0037</x:v>
      </x:c>
      <x:c r="C309" s="2" t="str">
        <x:v>76543210-3</x:v>
      </x:c>
      <x:c r="D309" s="2" t="str">
        <x:v>portal_proveedor</x:v>
      </x:c>
      <x:c r="E309" s="2" t="str">
        <x:v>cumplido</x:v>
      </x:c>
      <x:c r="F309" s="2" t="str">
        <x:v>operador</x:v>
      </x:c>
      <x:c r="G309" s="15" t="d">
        <x:v>2026-09-21T00:00:00.000Z</x:v>
      </x:c>
      <x:c r="H309" s="2" t="str">
        <x:v>evidencias/FAC-2-0037-portal_proveedor.pdf</x:v>
      </x:c>
    </x:row>
    <x:row r="310">
      <x:c r="A310" s="2" t="str">
        <x:v>CHK-00309</x:v>
      </x:c>
      <x:c r="B310" s="2" t="str">
        <x:v>FAC-2-0038</x:v>
      </x:c>
      <x:c r="C310" s="2" t="str">
        <x:v>76543210-3</x:v>
      </x:c>
      <x:c r="D310" s="2" t="str">
        <x:v>aceptacion_sii</x:v>
      </x:c>
      <x:c r="E310" s="2" t="str">
        <x:v>cumplido</x:v>
      </x:c>
      <x:c r="F310" s="2" t="str">
        <x:v>operador</x:v>
      </x:c>
      <x:c r="G310" s="15" t="d">
        <x:v>2026-09-22T00:00:00.000Z</x:v>
      </x:c>
      <x:c r="H310" s="2" t="str">
        <x:v>evidencias/FAC-2-0038-aceptacion_sii.pdf</x:v>
      </x:c>
    </x:row>
    <x:row r="311">
      <x:c r="A311" s="2" t="str">
        <x:v>CHK-00310</x:v>
      </x:c>
      <x:c r="B311" s="2" t="str">
        <x:v>FAC-2-0038</x:v>
      </x:c>
      <x:c r="C311" s="2" t="str">
        <x:v>76543210-3</x:v>
      </x:c>
      <x:c r="D311" s="2" t="str">
        <x:v>orden_compra</x:v>
      </x:c>
      <x:c r="E311" s="2" t="str">
        <x:v>cumplido</x:v>
      </x:c>
      <x:c r="F311" s="2" t="str">
        <x:v>pagador</x:v>
      </x:c>
      <x:c r="G311" s="15" t="d">
        <x:v>2026-09-22T00:00:00.000Z</x:v>
      </x:c>
      <x:c r="H311" s="2" t="str">
        <x:v>evidencias/FAC-2-0038-orden_compra.pdf</x:v>
      </x:c>
    </x:row>
    <x:row r="312">
      <x:c r="A312" s="2" t="str">
        <x:v>CHK-00311</x:v>
      </x:c>
      <x:c r="B312" s="2" t="str">
        <x:v>FAC-2-0038</x:v>
      </x:c>
      <x:c r="C312" s="2" t="str">
        <x:v>76543210-3</x:v>
      </x:c>
      <x:c r="D312" s="2" t="str">
        <x:v>hes_conformidad</x:v>
      </x:c>
      <x:c r="E312" s="2" t="str">
        <x:v>no_aplica</x:v>
      </x:c>
      <x:c r="F312" s="2" t="str">
        <x:v>sistema</x:v>
      </x:c>
      <x:c r="G312" s="15" t="d">
        <x:v>2026-09-22T00:00:00.000Z</x:v>
      </x:c>
      <x:c r="H312" s="2" t="str"/>
    </x:row>
    <x:row r="313">
      <x:c r="A313" s="2" t="str">
        <x:v>CHK-00312</x:v>
      </x:c>
      <x:c r="B313" s="2" t="str">
        <x:v>FAC-2-0038</x:v>
      </x:c>
      <x:c r="C313" s="2" t="str">
        <x:v>76543210-3</x:v>
      </x:c>
      <x:c r="D313" s="2" t="str">
        <x:v>portal_proveedor</x:v>
      </x:c>
      <x:c r="E313" s="2" t="str">
        <x:v>no_aplica</x:v>
      </x:c>
      <x:c r="F313" s="2" t="str">
        <x:v>sistema</x:v>
      </x:c>
      <x:c r="G313" s="15" t="d">
        <x:v>2026-09-22T00:00:00.000Z</x:v>
      </x:c>
      <x:c r="H313" s="2" t="str"/>
    </x:row>
    <x:row r="314">
      <x:c r="A314" s="2" t="str">
        <x:v>CHK-00313</x:v>
      </x:c>
      <x:c r="B314" s="2" t="str">
        <x:v>FAC-2-0039</x:v>
      </x:c>
      <x:c r="C314" s="2" t="str">
        <x:v>76543210-3</x:v>
      </x:c>
      <x:c r="D314" s="2" t="str">
        <x:v>aceptacion_sii</x:v>
      </x:c>
      <x:c r="E314" s="2" t="str">
        <x:v>cumplido</x:v>
      </x:c>
      <x:c r="F314" s="2" t="str">
        <x:v>operador</x:v>
      </x:c>
      <x:c r="G314" s="15" t="d">
        <x:v>2026-09-27T00:00:00.000Z</x:v>
      </x:c>
      <x:c r="H314" s="2" t="str">
        <x:v>evidencias/FAC-2-0039-aceptacion_sii.pdf</x:v>
      </x:c>
    </x:row>
    <x:row r="315">
      <x:c r="A315" s="2" t="str">
        <x:v>CHK-00314</x:v>
      </x:c>
      <x:c r="B315" s="2" t="str">
        <x:v>FAC-2-0039</x:v>
      </x:c>
      <x:c r="C315" s="2" t="str">
        <x:v>76543210-3</x:v>
      </x:c>
      <x:c r="D315" s="2" t="str">
        <x:v>orden_compra</x:v>
      </x:c>
      <x:c r="E315" s="2" t="str">
        <x:v>cumplido</x:v>
      </x:c>
      <x:c r="F315" s="2" t="str">
        <x:v>pagador</x:v>
      </x:c>
      <x:c r="G315" s="15" t="d">
        <x:v>2026-09-27T00:00:00.000Z</x:v>
      </x:c>
      <x:c r="H315" s="2" t="str">
        <x:v>evidencias/FAC-2-0039-orden_compra.pdf</x:v>
      </x:c>
    </x:row>
    <x:row r="316">
      <x:c r="A316" s="2" t="str">
        <x:v>CHK-00315</x:v>
      </x:c>
      <x:c r="B316" s="2" t="str">
        <x:v>FAC-2-0039</x:v>
      </x:c>
      <x:c r="C316" s="2" t="str">
        <x:v>76543210-3</x:v>
      </x:c>
      <x:c r="D316" s="2" t="str">
        <x:v>hes_conformidad</x:v>
      </x:c>
      <x:c r="E316" s="2" t="str">
        <x:v>solicitado</x:v>
      </x:c>
      <x:c r="F316" s="2" t="str">
        <x:v>pagador</x:v>
      </x:c>
      <x:c r="G316" s="15" t="d">
        <x:v>2026-09-27T00:00:00.000Z</x:v>
      </x:c>
      <x:c r="H316" s="2" t="str"/>
    </x:row>
    <x:row r="317">
      <x:c r="A317" s="2" t="str">
        <x:v>CHK-00316</x:v>
      </x:c>
      <x:c r="B317" s="2" t="str">
        <x:v>FAC-2-0039</x:v>
      </x:c>
      <x:c r="C317" s="2" t="str">
        <x:v>76543210-3</x:v>
      </x:c>
      <x:c r="D317" s="2" t="str">
        <x:v>portal_proveedor</x:v>
      </x:c>
      <x:c r="E317" s="2" t="str">
        <x:v>cumplido</x:v>
      </x:c>
      <x:c r="F317" s="2" t="str">
        <x:v>operador</x:v>
      </x:c>
      <x:c r="G317" s="15" t="d">
        <x:v>2026-09-27T00:00:00.000Z</x:v>
      </x:c>
      <x:c r="H317" s="2" t="str">
        <x:v>evidencias/FAC-2-0039-portal_proveedor.pdf</x:v>
      </x:c>
    </x:row>
    <x:row r="318">
      <x:c r="A318" s="2" t="str">
        <x:v>CHK-00317</x:v>
      </x:c>
      <x:c r="B318" s="2" t="str">
        <x:v>FAC-2-0040</x:v>
      </x:c>
      <x:c r="C318" s="2" t="str">
        <x:v>76543210-3</x:v>
      </x:c>
      <x:c r="D318" s="2" t="str">
        <x:v>aceptacion_sii</x:v>
      </x:c>
      <x:c r="E318" s="2" t="str">
        <x:v>cumplido</x:v>
      </x:c>
      <x:c r="F318" s="2" t="str">
        <x:v>operador</x:v>
      </x:c>
      <x:c r="G318" s="15" t="d">
        <x:v>2026-09-28T00:00:00.000Z</x:v>
      </x:c>
      <x:c r="H318" s="2" t="str">
        <x:v>evidencias/FAC-2-0040-aceptacion_sii.pdf</x:v>
      </x:c>
    </x:row>
    <x:row r="319">
      <x:c r="A319" s="2" t="str">
        <x:v>CHK-00318</x:v>
      </x:c>
      <x:c r="B319" s="2" t="str">
        <x:v>FAC-2-0040</x:v>
      </x:c>
      <x:c r="C319" s="2" t="str">
        <x:v>76543210-3</x:v>
      </x:c>
      <x:c r="D319" s="2" t="str">
        <x:v>orden_compra</x:v>
      </x:c>
      <x:c r="E319" s="2" t="str">
        <x:v>no_aplica</x:v>
      </x:c>
      <x:c r="F319" s="2" t="str">
        <x:v>sistema</x:v>
      </x:c>
      <x:c r="G319" s="15" t="d">
        <x:v>2026-09-28T00:00:00.000Z</x:v>
      </x:c>
      <x:c r="H319" s="2" t="str"/>
    </x:row>
    <x:row r="320">
      <x:c r="A320" s="2" t="str">
        <x:v>CHK-00319</x:v>
      </x:c>
      <x:c r="B320" s="2" t="str">
        <x:v>FAC-2-0040</x:v>
      </x:c>
      <x:c r="C320" s="2" t="str">
        <x:v>76543210-3</x:v>
      </x:c>
      <x:c r="D320" s="2" t="str">
        <x:v>hes_conformidad</x:v>
      </x:c>
      <x:c r="E320" s="2" t="str">
        <x:v>cumplido</x:v>
      </x:c>
      <x:c r="F320" s="2" t="str">
        <x:v>pagador</x:v>
      </x:c>
      <x:c r="G320" s="15" t="d">
        <x:v>2026-09-28T00:00:00.000Z</x:v>
      </x:c>
      <x:c r="H320" s="2" t="str">
        <x:v>evidencias/FAC-2-0040-hes_conformidad.pdf</x:v>
      </x:c>
    </x:row>
    <x:row r="321">
      <x:c r="A321" s="2" t="str">
        <x:v>CHK-00320</x:v>
      </x:c>
      <x:c r="B321" s="2" t="str">
        <x:v>FAC-2-0040</x:v>
      </x:c>
      <x:c r="C321" s="2" t="str">
        <x:v>76543210-3</x:v>
      </x:c>
      <x:c r="D321" s="2" t="str">
        <x:v>portal_proveedor</x:v>
      </x:c>
      <x:c r="E321" s="2" t="str">
        <x:v>pendiente</x:v>
      </x:c>
      <x:c r="F321" s="2" t="str">
        <x:v>operador</x:v>
      </x:c>
      <x:c r="G321" s="15" t="d">
        <x:v>2026-09-28T00:00:00.000Z</x:v>
      </x:c>
      <x:c r="H321" s="2" t="str"/>
    </x:row>
    <x:row r="322">
      <x:c r="A322" s="2" t="str">
        <x:v>CHK-00321</x:v>
      </x:c>
      <x:c r="B322" s="2" t="str">
        <x:v>FAC-3-0001</x:v>
      </x:c>
      <x:c r="C322" s="2" t="str">
        <x:v>77345678-K</x:v>
      </x:c>
      <x:c r="D322" s="2" t="str">
        <x:v>aceptacion_sii</x:v>
      </x:c>
      <x:c r="E322" s="2" t="str">
        <x:v>cumplido</x:v>
      </x:c>
      <x:c r="F322" s="2" t="str">
        <x:v>operador</x:v>
      </x:c>
      <x:c r="G322" s="15" t="d">
        <x:v>2026-06-06T00:00:00.000Z</x:v>
      </x:c>
      <x:c r="H322" s="2" t="str">
        <x:v>evidencias/FAC-3-0001-aceptacion_sii.pdf</x:v>
      </x:c>
    </x:row>
    <x:row r="323">
      <x:c r="A323" s="2" t="str">
        <x:v>CHK-00322</x:v>
      </x:c>
      <x:c r="B323" s="2" t="str">
        <x:v>FAC-3-0001</x:v>
      </x:c>
      <x:c r="C323" s="2" t="str">
        <x:v>77345678-K</x:v>
      </x:c>
      <x:c r="D323" s="2" t="str">
        <x:v>orden_compra</x:v>
      </x:c>
      <x:c r="E323" s="2" t="str">
        <x:v>cumplido</x:v>
      </x:c>
      <x:c r="F323" s="2" t="str">
        <x:v>pagador</x:v>
      </x:c>
      <x:c r="G323" s="15" t="d">
        <x:v>2026-06-06T00:00:00.000Z</x:v>
      </x:c>
      <x:c r="H323" s="2" t="str">
        <x:v>evidencias/FAC-3-0001-orden_compra.pdf</x:v>
      </x:c>
    </x:row>
    <x:row r="324">
      <x:c r="A324" s="2" t="str">
        <x:v>CHK-00323</x:v>
      </x:c>
      <x:c r="B324" s="2" t="str">
        <x:v>FAC-3-0001</x:v>
      </x:c>
      <x:c r="C324" s="2" t="str">
        <x:v>77345678-K</x:v>
      </x:c>
      <x:c r="D324" s="2" t="str">
        <x:v>hes_conformidad</x:v>
      </x:c>
      <x:c r="E324" s="2" t="str">
        <x:v>cumplido</x:v>
      </x:c>
      <x:c r="F324" s="2" t="str">
        <x:v>pagador</x:v>
      </x:c>
      <x:c r="G324" s="15" t="d">
        <x:v>2026-06-06T00:00:00.000Z</x:v>
      </x:c>
      <x:c r="H324" s="2" t="str">
        <x:v>evidencias/FAC-3-0001-hes_conformidad.pdf</x:v>
      </x:c>
    </x:row>
    <x:row r="325">
      <x:c r="A325" s="2" t="str">
        <x:v>CHK-00324</x:v>
      </x:c>
      <x:c r="B325" s="2" t="str">
        <x:v>FAC-3-0001</x:v>
      </x:c>
      <x:c r="C325" s="2" t="str">
        <x:v>77345678-K</x:v>
      </x:c>
      <x:c r="D325" s="2" t="str">
        <x:v>portal_proveedor</x:v>
      </x:c>
      <x:c r="E325" s="2" t="str">
        <x:v>cumplido</x:v>
      </x:c>
      <x:c r="F325" s="2" t="str">
        <x:v>operador</x:v>
      </x:c>
      <x:c r="G325" s="15" t="d">
        <x:v>2026-06-06T00:00:00.000Z</x:v>
      </x:c>
      <x:c r="H325" s="2" t="str">
        <x:v>evidencias/FAC-3-0001-portal_proveedor.pdf</x:v>
      </x:c>
    </x:row>
    <x:row r="326">
      <x:c r="A326" s="2" t="str">
        <x:v>CHK-00325</x:v>
      </x:c>
      <x:c r="B326" s="2" t="str">
        <x:v>FAC-3-0002</x:v>
      </x:c>
      <x:c r="C326" s="2" t="str">
        <x:v>77345678-K</x:v>
      </x:c>
      <x:c r="D326" s="2" t="str">
        <x:v>aceptacion_sii</x:v>
      </x:c>
      <x:c r="E326" s="2" t="str">
        <x:v>cumplido</x:v>
      </x:c>
      <x:c r="F326" s="2" t="str">
        <x:v>operador</x:v>
      </x:c>
      <x:c r="G326" s="15" t="d">
        <x:v>2026-07-27T00:00:00.000Z</x:v>
      </x:c>
      <x:c r="H326" s="2" t="str">
        <x:v>evidencias/FAC-3-0002-aceptacion_sii.pdf</x:v>
      </x:c>
    </x:row>
    <x:row r="327">
      <x:c r="A327" s="2" t="str">
        <x:v>CHK-00326</x:v>
      </x:c>
      <x:c r="B327" s="2" t="str">
        <x:v>FAC-3-0002</x:v>
      </x:c>
      <x:c r="C327" s="2" t="str">
        <x:v>77345678-K</x:v>
      </x:c>
      <x:c r="D327" s="2" t="str">
        <x:v>orden_compra</x:v>
      </x:c>
      <x:c r="E327" s="2" t="str">
        <x:v>cumplido</x:v>
      </x:c>
      <x:c r="F327" s="2" t="str">
        <x:v>pagador</x:v>
      </x:c>
      <x:c r="G327" s="15" t="d">
        <x:v>2026-07-27T00:00:00.000Z</x:v>
      </x:c>
      <x:c r="H327" s="2" t="str">
        <x:v>evidencias/FAC-3-0002-orden_compra.pdf</x:v>
      </x:c>
    </x:row>
    <x:row r="328">
      <x:c r="A328" s="2" t="str">
        <x:v>CHK-00327</x:v>
      </x:c>
      <x:c r="B328" s="2" t="str">
        <x:v>FAC-3-0002</x:v>
      </x:c>
      <x:c r="C328" s="2" t="str">
        <x:v>77345678-K</x:v>
      </x:c>
      <x:c r="D328" s="2" t="str">
        <x:v>hes_conformidad</x:v>
      </x:c>
      <x:c r="E328" s="2" t="str">
        <x:v>no_aplica</x:v>
      </x:c>
      <x:c r="F328" s="2" t="str">
        <x:v>sistema</x:v>
      </x:c>
      <x:c r="G328" s="15" t="d">
        <x:v>2026-07-27T00:00:00.000Z</x:v>
      </x:c>
      <x:c r="H328" s="2" t="str"/>
    </x:row>
    <x:row r="329">
      <x:c r="A329" s="2" t="str">
        <x:v>CHK-00328</x:v>
      </x:c>
      <x:c r="B329" s="2" t="str">
        <x:v>FAC-3-0002</x:v>
      </x:c>
      <x:c r="C329" s="2" t="str">
        <x:v>77345678-K</x:v>
      </x:c>
      <x:c r="D329" s="2" t="str">
        <x:v>portal_proveedor</x:v>
      </x:c>
      <x:c r="E329" s="2" t="str">
        <x:v>cumplido</x:v>
      </x:c>
      <x:c r="F329" s="2" t="str">
        <x:v>operador</x:v>
      </x:c>
      <x:c r="G329" s="15" t="d">
        <x:v>2026-07-27T00:00:00.000Z</x:v>
      </x:c>
      <x:c r="H329" s="2" t="str">
        <x:v>evidencias/FAC-3-0002-portal_proveedor.pdf</x:v>
      </x:c>
    </x:row>
    <x:row r="330">
      <x:c r="A330" s="2" t="str">
        <x:v>CHK-00329</x:v>
      </x:c>
      <x:c r="B330" s="2" t="str">
        <x:v>FAC-3-0003</x:v>
      </x:c>
      <x:c r="C330" s="2" t="str">
        <x:v>77345678-K</x:v>
      </x:c>
      <x:c r="D330" s="2" t="str">
        <x:v>aceptacion_sii</x:v>
      </x:c>
      <x:c r="E330" s="2" t="str">
        <x:v>cumplido</x:v>
      </x:c>
      <x:c r="F330" s="2" t="str">
        <x:v>operador</x:v>
      </x:c>
      <x:c r="G330" s="15" t="d">
        <x:v>2026-07-24T00:00:00.000Z</x:v>
      </x:c>
      <x:c r="H330" s="2" t="str">
        <x:v>evidencias/FAC-3-0003-aceptacion_sii.pdf</x:v>
      </x:c>
    </x:row>
    <x:row r="331">
      <x:c r="A331" s="2" t="str">
        <x:v>CHK-00330</x:v>
      </x:c>
      <x:c r="B331" s="2" t="str">
        <x:v>FAC-3-0003</x:v>
      </x:c>
      <x:c r="C331" s="2" t="str">
        <x:v>77345678-K</x:v>
      </x:c>
      <x:c r="D331" s="2" t="str">
        <x:v>orden_compra</x:v>
      </x:c>
      <x:c r="E331" s="2" t="str">
        <x:v>cumplido</x:v>
      </x:c>
      <x:c r="F331" s="2" t="str">
        <x:v>pagador</x:v>
      </x:c>
      <x:c r="G331" s="15" t="d">
        <x:v>2026-07-24T00:00:00.000Z</x:v>
      </x:c>
      <x:c r="H331" s="2" t="str">
        <x:v>evidencias/FAC-3-0003-orden_compra.pdf</x:v>
      </x:c>
    </x:row>
    <x:row r="332">
      <x:c r="A332" s="2" t="str">
        <x:v>CHK-00331</x:v>
      </x:c>
      <x:c r="B332" s="2" t="str">
        <x:v>FAC-3-0003</x:v>
      </x:c>
      <x:c r="C332" s="2" t="str">
        <x:v>77345678-K</x:v>
      </x:c>
      <x:c r="D332" s="2" t="str">
        <x:v>hes_conformidad</x:v>
      </x:c>
      <x:c r="E332" s="2" t="str">
        <x:v>cumplido</x:v>
      </x:c>
      <x:c r="F332" s="2" t="str">
        <x:v>pagador</x:v>
      </x:c>
      <x:c r="G332" s="15" t="d">
        <x:v>2026-07-24T00:00:00.000Z</x:v>
      </x:c>
      <x:c r="H332" s="2" t="str">
        <x:v>evidencias/FAC-3-0003-hes_conformidad.pdf</x:v>
      </x:c>
    </x:row>
    <x:row r="333">
      <x:c r="A333" s="2" t="str">
        <x:v>CHK-00332</x:v>
      </x:c>
      <x:c r="B333" s="2" t="str">
        <x:v>FAC-3-0003</x:v>
      </x:c>
      <x:c r="C333" s="2" t="str">
        <x:v>77345678-K</x:v>
      </x:c>
      <x:c r="D333" s="2" t="str">
        <x:v>portal_proveedor</x:v>
      </x:c>
      <x:c r="E333" s="2" t="str">
        <x:v>cumplido</x:v>
      </x:c>
      <x:c r="F333" s="2" t="str">
        <x:v>operador</x:v>
      </x:c>
      <x:c r="G333" s="15" t="d">
        <x:v>2026-07-24T00:00:00.000Z</x:v>
      </x:c>
      <x:c r="H333" s="2" t="str">
        <x:v>evidencias/FAC-3-0003-portal_proveedor.pdf</x:v>
      </x:c>
    </x:row>
    <x:row r="334">
      <x:c r="A334" s="2" t="str">
        <x:v>CHK-00333</x:v>
      </x:c>
      <x:c r="B334" s="2" t="str">
        <x:v>FAC-3-0004</x:v>
      </x:c>
      <x:c r="C334" s="2" t="str">
        <x:v>77345678-K</x:v>
      </x:c>
      <x:c r="D334" s="2" t="str">
        <x:v>aceptacion_sii</x:v>
      </x:c>
      <x:c r="E334" s="2" t="str">
        <x:v>cumplido</x:v>
      </x:c>
      <x:c r="F334" s="2" t="str">
        <x:v>operador</x:v>
      </x:c>
      <x:c r="G334" s="15" t="d">
        <x:v>2026-06-15T00:00:00.000Z</x:v>
      </x:c>
      <x:c r="H334" s="2" t="str">
        <x:v>evidencias/FAC-3-0004-aceptacion_sii.pdf</x:v>
      </x:c>
    </x:row>
    <x:row r="335">
      <x:c r="A335" s="2" t="str">
        <x:v>CHK-00334</x:v>
      </x:c>
      <x:c r="B335" s="2" t="str">
        <x:v>FAC-3-0004</x:v>
      </x:c>
      <x:c r="C335" s="2" t="str">
        <x:v>77345678-K</x:v>
      </x:c>
      <x:c r="D335" s="2" t="str">
        <x:v>orden_compra</x:v>
      </x:c>
      <x:c r="E335" s="2" t="str">
        <x:v>no_aplica</x:v>
      </x:c>
      <x:c r="F335" s="2" t="str">
        <x:v>sistema</x:v>
      </x:c>
      <x:c r="G335" s="15" t="d">
        <x:v>2026-06-15T00:00:00.000Z</x:v>
      </x:c>
      <x:c r="H335" s="2" t="str"/>
    </x:row>
    <x:row r="336">
      <x:c r="A336" s="2" t="str">
        <x:v>CHK-00335</x:v>
      </x:c>
      <x:c r="B336" s="2" t="str">
        <x:v>FAC-3-0004</x:v>
      </x:c>
      <x:c r="C336" s="2" t="str">
        <x:v>77345678-K</x:v>
      </x:c>
      <x:c r="D336" s="2" t="str">
        <x:v>hes_conformidad</x:v>
      </x:c>
      <x:c r="E336" s="2" t="str">
        <x:v>cumplido</x:v>
      </x:c>
      <x:c r="F336" s="2" t="str">
        <x:v>pagador</x:v>
      </x:c>
      <x:c r="G336" s="15" t="d">
        <x:v>2026-06-15T00:00:00.000Z</x:v>
      </x:c>
      <x:c r="H336" s="2" t="str">
        <x:v>evidencias/FAC-3-0004-hes_conformidad.pdf</x:v>
      </x:c>
    </x:row>
    <x:row r="337">
      <x:c r="A337" s="2" t="str">
        <x:v>CHK-00336</x:v>
      </x:c>
      <x:c r="B337" s="2" t="str">
        <x:v>FAC-3-0004</x:v>
      </x:c>
      <x:c r="C337" s="2" t="str">
        <x:v>77345678-K</x:v>
      </x:c>
      <x:c r="D337" s="2" t="str">
        <x:v>portal_proveedor</x:v>
      </x:c>
      <x:c r="E337" s="2" t="str">
        <x:v>cumplido</x:v>
      </x:c>
      <x:c r="F337" s="2" t="str">
        <x:v>operador</x:v>
      </x:c>
      <x:c r="G337" s="15" t="d">
        <x:v>2026-06-15T00:00:00.000Z</x:v>
      </x:c>
      <x:c r="H337" s="2" t="str">
        <x:v>evidencias/FAC-3-0004-portal_proveedor.pdf</x:v>
      </x:c>
    </x:row>
    <x:row r="338">
      <x:c r="A338" s="2" t="str">
        <x:v>CHK-00337</x:v>
      </x:c>
      <x:c r="B338" s="2" t="str">
        <x:v>FAC-3-0005</x:v>
      </x:c>
      <x:c r="C338" s="2" t="str">
        <x:v>77345678-K</x:v>
      </x:c>
      <x:c r="D338" s="2" t="str">
        <x:v>aceptacion_sii</x:v>
      </x:c>
      <x:c r="E338" s="2" t="str">
        <x:v>cumplido</x:v>
      </x:c>
      <x:c r="F338" s="2" t="str">
        <x:v>operador</x:v>
      </x:c>
      <x:c r="G338" s="15" t="d">
        <x:v>2026-07-12T00:00:00.000Z</x:v>
      </x:c>
      <x:c r="H338" s="2" t="str">
        <x:v>evidencias/FAC-3-0005-aceptacion_sii.pdf</x:v>
      </x:c>
    </x:row>
    <x:row r="339">
      <x:c r="A339" s="2" t="str">
        <x:v>CHK-00338</x:v>
      </x:c>
      <x:c r="B339" s="2" t="str">
        <x:v>FAC-3-0005</x:v>
      </x:c>
      <x:c r="C339" s="2" t="str">
        <x:v>77345678-K</x:v>
      </x:c>
      <x:c r="D339" s="2" t="str">
        <x:v>orden_compra</x:v>
      </x:c>
      <x:c r="E339" s="2" t="str">
        <x:v>cumplido</x:v>
      </x:c>
      <x:c r="F339" s="2" t="str">
        <x:v>pagador</x:v>
      </x:c>
      <x:c r="G339" s="15" t="d">
        <x:v>2026-07-12T00:00:00.000Z</x:v>
      </x:c>
      <x:c r="H339" s="2" t="str">
        <x:v>evidencias/FAC-3-0005-orden_compra.pdf</x:v>
      </x:c>
    </x:row>
    <x:row r="340">
      <x:c r="A340" s="2" t="str">
        <x:v>CHK-00339</x:v>
      </x:c>
      <x:c r="B340" s="2" t="str">
        <x:v>FAC-3-0005</x:v>
      </x:c>
      <x:c r="C340" s="2" t="str">
        <x:v>77345678-K</x:v>
      </x:c>
      <x:c r="D340" s="2" t="str">
        <x:v>hes_conformidad</x:v>
      </x:c>
      <x:c r="E340" s="2" t="str">
        <x:v>no_aplica</x:v>
      </x:c>
      <x:c r="F340" s="2" t="str">
        <x:v>sistema</x:v>
      </x:c>
      <x:c r="G340" s="15" t="d">
        <x:v>2026-07-12T00:00:00.000Z</x:v>
      </x:c>
      <x:c r="H340" s="2" t="str"/>
    </x:row>
    <x:row r="341">
      <x:c r="A341" s="2" t="str">
        <x:v>CHK-00340</x:v>
      </x:c>
      <x:c r="B341" s="2" t="str">
        <x:v>FAC-3-0005</x:v>
      </x:c>
      <x:c r="C341" s="2" t="str">
        <x:v>77345678-K</x:v>
      </x:c>
      <x:c r="D341" s="2" t="str">
        <x:v>portal_proveedor</x:v>
      </x:c>
      <x:c r="E341" s="2" t="str">
        <x:v>cumplido</x:v>
      </x:c>
      <x:c r="F341" s="2" t="str">
        <x:v>operador</x:v>
      </x:c>
      <x:c r="G341" s="15" t="d">
        <x:v>2026-07-12T00:00:00.000Z</x:v>
      </x:c>
      <x:c r="H341" s="2" t="str">
        <x:v>evidencias/FAC-3-0005-portal_proveedor.pdf</x:v>
      </x:c>
    </x:row>
    <x:row r="342">
      <x:c r="A342" s="2" t="str">
        <x:v>CHK-00341</x:v>
      </x:c>
      <x:c r="B342" s="2" t="str">
        <x:v>FAC-3-0006</x:v>
      </x:c>
      <x:c r="C342" s="2" t="str">
        <x:v>77345678-K</x:v>
      </x:c>
      <x:c r="D342" s="2" t="str">
        <x:v>aceptacion_sii</x:v>
      </x:c>
      <x:c r="E342" s="2" t="str">
        <x:v>cumplido</x:v>
      </x:c>
      <x:c r="F342" s="2" t="str">
        <x:v>operador</x:v>
      </x:c>
      <x:c r="G342" s="15" t="d">
        <x:v>2026-08-15T00:00:00.000Z</x:v>
      </x:c>
      <x:c r="H342" s="2" t="str">
        <x:v>evidencias/FAC-3-0006-aceptacion_sii.pdf</x:v>
      </x:c>
    </x:row>
    <x:row r="343">
      <x:c r="A343" s="2" t="str">
        <x:v>CHK-00342</x:v>
      </x:c>
      <x:c r="B343" s="2" t="str">
        <x:v>FAC-3-0006</x:v>
      </x:c>
      <x:c r="C343" s="2" t="str">
        <x:v>77345678-K</x:v>
      </x:c>
      <x:c r="D343" s="2" t="str">
        <x:v>orden_compra</x:v>
      </x:c>
      <x:c r="E343" s="2" t="str">
        <x:v>cumplido</x:v>
      </x:c>
      <x:c r="F343" s="2" t="str">
        <x:v>pagador</x:v>
      </x:c>
      <x:c r="G343" s="15" t="d">
        <x:v>2026-08-15T00:00:00.000Z</x:v>
      </x:c>
      <x:c r="H343" s="2" t="str">
        <x:v>evidencias/FAC-3-0006-orden_compra.pdf</x:v>
      </x:c>
    </x:row>
    <x:row r="344">
      <x:c r="A344" s="2" t="str">
        <x:v>CHK-00343</x:v>
      </x:c>
      <x:c r="B344" s="2" t="str">
        <x:v>FAC-3-0006</x:v>
      </x:c>
      <x:c r="C344" s="2" t="str">
        <x:v>77345678-K</x:v>
      </x:c>
      <x:c r="D344" s="2" t="str">
        <x:v>hes_conformidad</x:v>
      </x:c>
      <x:c r="E344" s="2" t="str">
        <x:v>cumplido</x:v>
      </x:c>
      <x:c r="F344" s="2" t="str">
        <x:v>pagador</x:v>
      </x:c>
      <x:c r="G344" s="15" t="d">
        <x:v>2026-08-15T00:00:00.000Z</x:v>
      </x:c>
      <x:c r="H344" s="2" t="str">
        <x:v>evidencias/FAC-3-0006-hes_conformidad.pdf</x:v>
      </x:c>
    </x:row>
    <x:row r="345">
      <x:c r="A345" s="2" t="str">
        <x:v>CHK-00344</x:v>
      </x:c>
      <x:c r="B345" s="2" t="str">
        <x:v>FAC-3-0006</x:v>
      </x:c>
      <x:c r="C345" s="2" t="str">
        <x:v>77345678-K</x:v>
      </x:c>
      <x:c r="D345" s="2" t="str">
        <x:v>portal_proveedor</x:v>
      </x:c>
      <x:c r="E345" s="2" t="str">
        <x:v>cumplido</x:v>
      </x:c>
      <x:c r="F345" s="2" t="str">
        <x:v>operador</x:v>
      </x:c>
      <x:c r="G345" s="15" t="d">
        <x:v>2026-08-15T00:00:00.000Z</x:v>
      </x:c>
      <x:c r="H345" s="2" t="str">
        <x:v>evidencias/FAC-3-0006-portal_proveedor.pdf</x:v>
      </x:c>
    </x:row>
    <x:row r="346">
      <x:c r="A346" s="2" t="str">
        <x:v>CHK-00345</x:v>
      </x:c>
      <x:c r="B346" s="2" t="str">
        <x:v>FAC-3-0007</x:v>
      </x:c>
      <x:c r="C346" s="2" t="str">
        <x:v>77345678-K</x:v>
      </x:c>
      <x:c r="D346" s="2" t="str">
        <x:v>aceptacion_sii</x:v>
      </x:c>
      <x:c r="E346" s="2" t="str">
        <x:v>cumplido</x:v>
      </x:c>
      <x:c r="F346" s="2" t="str">
        <x:v>operador</x:v>
      </x:c>
      <x:c r="G346" s="15" t="d">
        <x:v>2026-07-30T00:00:00.000Z</x:v>
      </x:c>
      <x:c r="H346" s="2" t="str">
        <x:v>evidencias/FAC-3-0007-aceptacion_sii.pdf</x:v>
      </x:c>
    </x:row>
    <x:row r="347">
      <x:c r="A347" s="2" t="str">
        <x:v>CHK-00346</x:v>
      </x:c>
      <x:c r="B347" s="2" t="str">
        <x:v>FAC-3-0007</x:v>
      </x:c>
      <x:c r="C347" s="2" t="str">
        <x:v>77345678-K</x:v>
      </x:c>
      <x:c r="D347" s="2" t="str">
        <x:v>orden_compra</x:v>
      </x:c>
      <x:c r="E347" s="2" t="str">
        <x:v>cumplido</x:v>
      </x:c>
      <x:c r="F347" s="2" t="str">
        <x:v>pagador</x:v>
      </x:c>
      <x:c r="G347" s="15" t="d">
        <x:v>2026-07-30T00:00:00.000Z</x:v>
      </x:c>
      <x:c r="H347" s="2" t="str">
        <x:v>evidencias/FAC-3-0007-orden_compra.pdf</x:v>
      </x:c>
    </x:row>
    <x:row r="348">
      <x:c r="A348" s="2" t="str">
        <x:v>CHK-00347</x:v>
      </x:c>
      <x:c r="B348" s="2" t="str">
        <x:v>FAC-3-0007</x:v>
      </x:c>
      <x:c r="C348" s="2" t="str">
        <x:v>77345678-K</x:v>
      </x:c>
      <x:c r="D348" s="2" t="str">
        <x:v>hes_conformidad</x:v>
      </x:c>
      <x:c r="E348" s="2" t="str">
        <x:v>no_aplica</x:v>
      </x:c>
      <x:c r="F348" s="2" t="str">
        <x:v>sistema</x:v>
      </x:c>
      <x:c r="G348" s="15" t="d">
        <x:v>2026-07-30T00:00:00.000Z</x:v>
      </x:c>
      <x:c r="H348" s="2" t="str"/>
    </x:row>
    <x:row r="349">
      <x:c r="A349" s="2" t="str">
        <x:v>CHK-00348</x:v>
      </x:c>
      <x:c r="B349" s="2" t="str">
        <x:v>FAC-3-0007</x:v>
      </x:c>
      <x:c r="C349" s="2" t="str">
        <x:v>77345678-K</x:v>
      </x:c>
      <x:c r="D349" s="2" t="str">
        <x:v>portal_proveedor</x:v>
      </x:c>
      <x:c r="E349" s="2" t="str">
        <x:v>cumplido</x:v>
      </x:c>
      <x:c r="F349" s="2" t="str">
        <x:v>operador</x:v>
      </x:c>
      <x:c r="G349" s="15" t="d">
        <x:v>2026-07-30T00:00:00.000Z</x:v>
      </x:c>
      <x:c r="H349" s="2" t="str">
        <x:v>evidencias/FAC-3-0007-portal_proveedor.pdf</x:v>
      </x:c>
    </x:row>
    <x:row r="350">
      <x:c r="A350" s="2" t="str">
        <x:v>CHK-00349</x:v>
      </x:c>
      <x:c r="B350" s="2" t="str">
        <x:v>FAC-3-0008</x:v>
      </x:c>
      <x:c r="C350" s="2" t="str">
        <x:v>77345678-K</x:v>
      </x:c>
      <x:c r="D350" s="2" t="str">
        <x:v>aceptacion_sii</x:v>
      </x:c>
      <x:c r="E350" s="2" t="str">
        <x:v>cumplido</x:v>
      </x:c>
      <x:c r="F350" s="2" t="str">
        <x:v>operador</x:v>
      </x:c>
      <x:c r="G350" s="15" t="d">
        <x:v>2026-06-27T00:00:00.000Z</x:v>
      </x:c>
      <x:c r="H350" s="2" t="str">
        <x:v>evidencias/FAC-3-0008-aceptacion_sii.pdf</x:v>
      </x:c>
    </x:row>
    <x:row r="351">
      <x:c r="A351" s="2" t="str">
        <x:v>CHK-00350</x:v>
      </x:c>
      <x:c r="B351" s="2" t="str">
        <x:v>FAC-3-0008</x:v>
      </x:c>
      <x:c r="C351" s="2" t="str">
        <x:v>77345678-K</x:v>
      </x:c>
      <x:c r="D351" s="2" t="str">
        <x:v>orden_compra</x:v>
      </x:c>
      <x:c r="E351" s="2" t="str">
        <x:v>pendiente</x:v>
      </x:c>
      <x:c r="F351" s="2" t="str">
        <x:v>pagador</x:v>
      </x:c>
      <x:c r="G351" s="15" t="d">
        <x:v>2026-06-27T00:00:00.000Z</x:v>
      </x:c>
      <x:c r="H351" s="2" t="str"/>
    </x:row>
    <x:row r="352">
      <x:c r="A352" s="2" t="str">
        <x:v>CHK-00351</x:v>
      </x:c>
      <x:c r="B352" s="2" t="str">
        <x:v>FAC-3-0008</x:v>
      </x:c>
      <x:c r="C352" s="2" t="str">
        <x:v>77345678-K</x:v>
      </x:c>
      <x:c r="D352" s="2" t="str">
        <x:v>hes_conformidad</x:v>
      </x:c>
      <x:c r="E352" s="2" t="str">
        <x:v>cumplido</x:v>
      </x:c>
      <x:c r="F352" s="2" t="str">
        <x:v>pagador</x:v>
      </x:c>
      <x:c r="G352" s="15" t="d">
        <x:v>2026-06-27T00:00:00.000Z</x:v>
      </x:c>
      <x:c r="H352" s="2" t="str">
        <x:v>evidencias/FAC-3-0008-hes_conformidad.pdf</x:v>
      </x:c>
    </x:row>
    <x:row r="353">
      <x:c r="A353" s="2" t="str">
        <x:v>CHK-00352</x:v>
      </x:c>
      <x:c r="B353" s="2" t="str">
        <x:v>FAC-3-0008</x:v>
      </x:c>
      <x:c r="C353" s="2" t="str">
        <x:v>77345678-K</x:v>
      </x:c>
      <x:c r="D353" s="2" t="str">
        <x:v>portal_proveedor</x:v>
      </x:c>
      <x:c r="E353" s="2" t="str">
        <x:v>cumplido</x:v>
      </x:c>
      <x:c r="F353" s="2" t="str">
        <x:v>operador</x:v>
      </x:c>
      <x:c r="G353" s="15" t="d">
        <x:v>2026-06-27T00:00:00.000Z</x:v>
      </x:c>
      <x:c r="H353" s="2" t="str">
        <x:v>evidencias/FAC-3-0008-portal_proveedor.pdf</x:v>
      </x:c>
    </x:row>
    <x:row r="354">
      <x:c r="A354" s="2" t="str">
        <x:v>CHK-00353</x:v>
      </x:c>
      <x:c r="B354" s="2" t="str">
        <x:v>FAC-3-0009</x:v>
      </x:c>
      <x:c r="C354" s="2" t="str">
        <x:v>77345678-K</x:v>
      </x:c>
      <x:c r="D354" s="2" t="str">
        <x:v>aceptacion_sii</x:v>
      </x:c>
      <x:c r="E354" s="2" t="str">
        <x:v>cumplido</x:v>
      </x:c>
      <x:c r="F354" s="2" t="str">
        <x:v>operador</x:v>
      </x:c>
      <x:c r="G354" s="15" t="d">
        <x:v>2026-06-30T00:00:00.000Z</x:v>
      </x:c>
      <x:c r="H354" s="2" t="str">
        <x:v>evidencias/FAC-3-0009-aceptacion_sii.pdf</x:v>
      </x:c>
    </x:row>
    <x:row r="355">
      <x:c r="A355" s="2" t="str">
        <x:v>CHK-00354</x:v>
      </x:c>
      <x:c r="B355" s="2" t="str">
        <x:v>FAC-3-0009</x:v>
      </x:c>
      <x:c r="C355" s="2" t="str">
        <x:v>77345678-K</x:v>
      </x:c>
      <x:c r="D355" s="2" t="str">
        <x:v>orden_compra</x:v>
      </x:c>
      <x:c r="E355" s="2" t="str">
        <x:v>no_aplica</x:v>
      </x:c>
      <x:c r="F355" s="2" t="str">
        <x:v>sistema</x:v>
      </x:c>
      <x:c r="G355" s="15" t="d">
        <x:v>2026-06-30T00:00:00.000Z</x:v>
      </x:c>
      <x:c r="H355" s="2" t="str"/>
    </x:row>
    <x:row r="356">
      <x:c r="A356" s="2" t="str">
        <x:v>CHK-00355</x:v>
      </x:c>
      <x:c r="B356" s="2" t="str">
        <x:v>FAC-3-0009</x:v>
      </x:c>
      <x:c r="C356" s="2" t="str">
        <x:v>77345678-K</x:v>
      </x:c>
      <x:c r="D356" s="2" t="str">
        <x:v>hes_conformidad</x:v>
      </x:c>
      <x:c r="E356" s="2" t="str">
        <x:v>cumplido</x:v>
      </x:c>
      <x:c r="F356" s="2" t="str">
        <x:v>pagador</x:v>
      </x:c>
      <x:c r="G356" s="15" t="d">
        <x:v>2026-06-30T00:00:00.000Z</x:v>
      </x:c>
      <x:c r="H356" s="2" t="str">
        <x:v>evidencias/FAC-3-0009-hes_conformidad.pdf</x:v>
      </x:c>
    </x:row>
    <x:row r="357">
      <x:c r="A357" s="2" t="str">
        <x:v>CHK-00356</x:v>
      </x:c>
      <x:c r="B357" s="2" t="str">
        <x:v>FAC-3-0009</x:v>
      </x:c>
      <x:c r="C357" s="2" t="str">
        <x:v>77345678-K</x:v>
      </x:c>
      <x:c r="D357" s="2" t="str">
        <x:v>portal_proveedor</x:v>
      </x:c>
      <x:c r="E357" s="2" t="str">
        <x:v>cumplido</x:v>
      </x:c>
      <x:c r="F357" s="2" t="str">
        <x:v>operador</x:v>
      </x:c>
      <x:c r="G357" s="15" t="d">
        <x:v>2026-06-30T00:00:00.000Z</x:v>
      </x:c>
      <x:c r="H357" s="2" t="str">
        <x:v>evidencias/FAC-3-0009-portal_proveedor.pdf</x:v>
      </x:c>
    </x:row>
    <x:row r="358">
      <x:c r="A358" s="2" t="str">
        <x:v>CHK-00357</x:v>
      </x:c>
      <x:c r="B358" s="2" t="str">
        <x:v>FAC-3-0010</x:v>
      </x:c>
      <x:c r="C358" s="2" t="str">
        <x:v>77345678-K</x:v>
      </x:c>
      <x:c r="D358" s="2" t="str">
        <x:v>aceptacion_sii</x:v>
      </x:c>
      <x:c r="E358" s="2" t="str">
        <x:v>reclamado</x:v>
      </x:c>
      <x:c r="F358" s="2" t="str">
        <x:v>operador</x:v>
      </x:c>
      <x:c r="G358" s="15" t="d">
        <x:v>2026-07-03T00:00:00.000Z</x:v>
      </x:c>
      <x:c r="H358" s="2" t="str"/>
    </x:row>
    <x:row r="359">
      <x:c r="A359" s="2" t="str">
        <x:v>CHK-00358</x:v>
      </x:c>
      <x:c r="B359" s="2" t="str">
        <x:v>FAC-3-0010</x:v>
      </x:c>
      <x:c r="C359" s="2" t="str">
        <x:v>77345678-K</x:v>
      </x:c>
      <x:c r="D359" s="2" t="str">
        <x:v>orden_compra</x:v>
      </x:c>
      <x:c r="E359" s="2" t="str">
        <x:v>cumplido</x:v>
      </x:c>
      <x:c r="F359" s="2" t="str">
        <x:v>pagador</x:v>
      </x:c>
      <x:c r="G359" s="15" t="d">
        <x:v>2026-07-03T00:00:00.000Z</x:v>
      </x:c>
      <x:c r="H359" s="2" t="str">
        <x:v>evidencias/FAC-3-0010-orden_compra.pdf</x:v>
      </x:c>
    </x:row>
    <x:row r="360">
      <x:c r="A360" s="2" t="str">
        <x:v>CHK-00359</x:v>
      </x:c>
      <x:c r="B360" s="2" t="str">
        <x:v>FAC-3-0010</x:v>
      </x:c>
      <x:c r="C360" s="2" t="str">
        <x:v>77345678-K</x:v>
      </x:c>
      <x:c r="D360" s="2" t="str">
        <x:v>hes_conformidad</x:v>
      </x:c>
      <x:c r="E360" s="2" t="str">
        <x:v>no_aplica</x:v>
      </x:c>
      <x:c r="F360" s="2" t="str">
        <x:v>sistema</x:v>
      </x:c>
      <x:c r="G360" s="15" t="d">
        <x:v>2026-07-03T00:00:00.000Z</x:v>
      </x:c>
      <x:c r="H360" s="2" t="str"/>
    </x:row>
    <x:row r="361">
      <x:c r="A361" s="2" t="str">
        <x:v>CHK-00360</x:v>
      </x:c>
      <x:c r="B361" s="2" t="str">
        <x:v>FAC-3-0010</x:v>
      </x:c>
      <x:c r="C361" s="2" t="str">
        <x:v>77345678-K</x:v>
      </x:c>
      <x:c r="D361" s="2" t="str">
        <x:v>portal_proveedor</x:v>
      </x:c>
      <x:c r="E361" s="2" t="str">
        <x:v>cumplido</x:v>
      </x:c>
      <x:c r="F361" s="2" t="str">
        <x:v>operador</x:v>
      </x:c>
      <x:c r="G361" s="15" t="d">
        <x:v>2026-07-03T00:00:00.000Z</x:v>
      </x:c>
      <x:c r="H361" s="2" t="str">
        <x:v>evidencias/FAC-3-0010-portal_proveedor.pdf</x:v>
      </x:c>
    </x:row>
    <x:row r="362">
      <x:c r="A362" s="2" t="str">
        <x:v>CHK-00361</x:v>
      </x:c>
      <x:c r="B362" s="2" t="str">
        <x:v>FAC-3-0011</x:v>
      </x:c>
      <x:c r="C362" s="2" t="str">
        <x:v>77345678-K</x:v>
      </x:c>
      <x:c r="D362" s="2" t="str">
        <x:v>aceptacion_sii</x:v>
      </x:c>
      <x:c r="E362" s="2" t="str">
        <x:v>cumplido</x:v>
      </x:c>
      <x:c r="F362" s="2" t="str">
        <x:v>operador</x:v>
      </x:c>
      <x:c r="G362" s="15" t="d">
        <x:v>2026-07-06T00:00:00.000Z</x:v>
      </x:c>
      <x:c r="H362" s="2" t="str">
        <x:v>evidencias/FAC-3-0011-aceptacion_sii.pdf</x:v>
      </x:c>
    </x:row>
    <x:row r="363">
      <x:c r="A363" s="2" t="str">
        <x:v>CHK-00362</x:v>
      </x:c>
      <x:c r="B363" s="2" t="str">
        <x:v>FAC-3-0011</x:v>
      </x:c>
      <x:c r="C363" s="2" t="str">
        <x:v>77345678-K</x:v>
      </x:c>
      <x:c r="D363" s="2" t="str">
        <x:v>orden_compra</x:v>
      </x:c>
      <x:c r="E363" s="2" t="str">
        <x:v>cumplido</x:v>
      </x:c>
      <x:c r="F363" s="2" t="str">
        <x:v>pagador</x:v>
      </x:c>
      <x:c r="G363" s="15" t="d">
        <x:v>2026-07-06T00:00:00.000Z</x:v>
      </x:c>
      <x:c r="H363" s="2" t="str">
        <x:v>evidencias/FAC-3-0011-orden_compra.pdf</x:v>
      </x:c>
    </x:row>
    <x:row r="364">
      <x:c r="A364" s="2" t="str">
        <x:v>CHK-00363</x:v>
      </x:c>
      <x:c r="B364" s="2" t="str">
        <x:v>FAC-3-0011</x:v>
      </x:c>
      <x:c r="C364" s="2" t="str">
        <x:v>77345678-K</x:v>
      </x:c>
      <x:c r="D364" s="2" t="str">
        <x:v>hes_conformidad</x:v>
      </x:c>
      <x:c r="E364" s="2" t="str">
        <x:v>cumplido</x:v>
      </x:c>
      <x:c r="F364" s="2" t="str">
        <x:v>pagador</x:v>
      </x:c>
      <x:c r="G364" s="15" t="d">
        <x:v>2026-07-06T00:00:00.000Z</x:v>
      </x:c>
      <x:c r="H364" s="2" t="str">
        <x:v>evidencias/FAC-3-0011-hes_conformidad.pdf</x:v>
      </x:c>
    </x:row>
    <x:row r="365">
      <x:c r="A365" s="2" t="str">
        <x:v>CHK-00364</x:v>
      </x:c>
      <x:c r="B365" s="2" t="str">
        <x:v>FAC-3-0011</x:v>
      </x:c>
      <x:c r="C365" s="2" t="str">
        <x:v>77345678-K</x:v>
      </x:c>
      <x:c r="D365" s="2" t="str">
        <x:v>portal_proveedor</x:v>
      </x:c>
      <x:c r="E365" s="2" t="str">
        <x:v>cumplido</x:v>
      </x:c>
      <x:c r="F365" s="2" t="str">
        <x:v>operador</x:v>
      </x:c>
      <x:c r="G365" s="15" t="d">
        <x:v>2026-07-06T00:00:00.000Z</x:v>
      </x:c>
      <x:c r="H365" s="2" t="str">
        <x:v>evidencias/FAC-3-0011-portal_proveedor.pdf</x:v>
      </x:c>
    </x:row>
    <x:row r="366">
      <x:c r="A366" s="2" t="str">
        <x:v>CHK-00365</x:v>
      </x:c>
      <x:c r="B366" s="2" t="str">
        <x:v>FAC-3-0012</x:v>
      </x:c>
      <x:c r="C366" s="2" t="str">
        <x:v>77345678-K</x:v>
      </x:c>
      <x:c r="D366" s="2" t="str">
        <x:v>aceptacion_sii</x:v>
      </x:c>
      <x:c r="E366" s="2" t="str">
        <x:v>cumplido</x:v>
      </x:c>
      <x:c r="F366" s="2" t="str">
        <x:v>operador</x:v>
      </x:c>
      <x:c r="G366" s="15" t="d">
        <x:v>2026-08-26T00:00:00.000Z</x:v>
      </x:c>
      <x:c r="H366" s="2" t="str">
        <x:v>evidencias/FAC-3-0012-aceptacion_sii.pdf</x:v>
      </x:c>
    </x:row>
    <x:row r="367">
      <x:c r="A367" s="2" t="str">
        <x:v>CHK-00366</x:v>
      </x:c>
      <x:c r="B367" s="2" t="str">
        <x:v>FAC-3-0012</x:v>
      </x:c>
      <x:c r="C367" s="2" t="str">
        <x:v>77345678-K</x:v>
      </x:c>
      <x:c r="D367" s="2" t="str">
        <x:v>orden_compra</x:v>
      </x:c>
      <x:c r="E367" s="2" t="str">
        <x:v>cumplido</x:v>
      </x:c>
      <x:c r="F367" s="2" t="str">
        <x:v>pagador</x:v>
      </x:c>
      <x:c r="G367" s="15" t="d">
        <x:v>2026-08-26T00:00:00.000Z</x:v>
      </x:c>
      <x:c r="H367" s="2" t="str">
        <x:v>evidencias/FAC-3-0012-orden_compra.pdf</x:v>
      </x:c>
    </x:row>
    <x:row r="368">
      <x:c r="A368" s="2" t="str">
        <x:v>CHK-00367</x:v>
      </x:c>
      <x:c r="B368" s="2" t="str">
        <x:v>FAC-3-0012</x:v>
      </x:c>
      <x:c r="C368" s="2" t="str">
        <x:v>77345678-K</x:v>
      </x:c>
      <x:c r="D368" s="2" t="str">
        <x:v>hes_conformidad</x:v>
      </x:c>
      <x:c r="E368" s="2" t="str">
        <x:v>no_aplica</x:v>
      </x:c>
      <x:c r="F368" s="2" t="str">
        <x:v>sistema</x:v>
      </x:c>
      <x:c r="G368" s="15" t="d">
        <x:v>2026-08-26T00:00:00.000Z</x:v>
      </x:c>
      <x:c r="H368" s="2" t="str"/>
    </x:row>
    <x:row r="369">
      <x:c r="A369" s="2" t="str">
        <x:v>CHK-00368</x:v>
      </x:c>
      <x:c r="B369" s="2" t="str">
        <x:v>FAC-3-0012</x:v>
      </x:c>
      <x:c r="C369" s="2" t="str">
        <x:v>77345678-K</x:v>
      </x:c>
      <x:c r="D369" s="2" t="str">
        <x:v>portal_proveedor</x:v>
      </x:c>
      <x:c r="E369" s="2" t="str">
        <x:v>cumplido</x:v>
      </x:c>
      <x:c r="F369" s="2" t="str">
        <x:v>operador</x:v>
      </x:c>
      <x:c r="G369" s="15" t="d">
        <x:v>2026-08-26T00:00:00.000Z</x:v>
      </x:c>
      <x:c r="H369" s="2" t="str">
        <x:v>evidencias/FAC-3-0012-portal_proveedor.pdf</x:v>
      </x:c>
    </x:row>
    <x:row r="370">
      <x:c r="A370" s="2" t="str">
        <x:v>CHK-00369</x:v>
      </x:c>
      <x:c r="B370" s="2" t="str">
        <x:v>FAC-3-0013</x:v>
      </x:c>
      <x:c r="C370" s="2" t="str">
        <x:v>77345678-K</x:v>
      </x:c>
      <x:c r="D370" s="2" t="str">
        <x:v>aceptacion_sii</x:v>
      </x:c>
      <x:c r="E370" s="2" t="str">
        <x:v>cumplido</x:v>
      </x:c>
      <x:c r="F370" s="2" t="str">
        <x:v>operador</x:v>
      </x:c>
      <x:c r="G370" s="15" t="d">
        <x:v>2026-08-23T00:00:00.000Z</x:v>
      </x:c>
      <x:c r="H370" s="2" t="str">
        <x:v>evidencias/FAC-3-0013-aceptacion_sii.pdf</x:v>
      </x:c>
    </x:row>
    <x:row r="371">
      <x:c r="A371" s="2" t="str">
        <x:v>CHK-00370</x:v>
      </x:c>
      <x:c r="B371" s="2" t="str">
        <x:v>FAC-3-0013</x:v>
      </x:c>
      <x:c r="C371" s="2" t="str">
        <x:v>77345678-K</x:v>
      </x:c>
      <x:c r="D371" s="2" t="str">
        <x:v>orden_compra</x:v>
      </x:c>
      <x:c r="E371" s="2" t="str">
        <x:v>cumplido</x:v>
      </x:c>
      <x:c r="F371" s="2" t="str">
        <x:v>pagador</x:v>
      </x:c>
      <x:c r="G371" s="15" t="d">
        <x:v>2026-08-23T00:00:00.000Z</x:v>
      </x:c>
      <x:c r="H371" s="2" t="str">
        <x:v>evidencias/FAC-3-0013-orden_compra.pdf</x:v>
      </x:c>
    </x:row>
    <x:row r="372">
      <x:c r="A372" s="2" t="str">
        <x:v>CHK-00371</x:v>
      </x:c>
      <x:c r="B372" s="2" t="str">
        <x:v>FAC-3-0013</x:v>
      </x:c>
      <x:c r="C372" s="2" t="str">
        <x:v>77345678-K</x:v>
      </x:c>
      <x:c r="D372" s="2" t="str">
        <x:v>hes_conformidad</x:v>
      </x:c>
      <x:c r="E372" s="2" t="str">
        <x:v>cumplido</x:v>
      </x:c>
      <x:c r="F372" s="2" t="str">
        <x:v>pagador</x:v>
      </x:c>
      <x:c r="G372" s="15" t="d">
        <x:v>2026-08-23T00:00:00.000Z</x:v>
      </x:c>
      <x:c r="H372" s="2" t="str">
        <x:v>evidencias/FAC-3-0013-hes_conformidad.pdf</x:v>
      </x:c>
    </x:row>
    <x:row r="373">
      <x:c r="A373" s="2" t="str">
        <x:v>CHK-00372</x:v>
      </x:c>
      <x:c r="B373" s="2" t="str">
        <x:v>FAC-3-0013</x:v>
      </x:c>
      <x:c r="C373" s="2" t="str">
        <x:v>77345678-K</x:v>
      </x:c>
      <x:c r="D373" s="2" t="str">
        <x:v>portal_proveedor</x:v>
      </x:c>
      <x:c r="E373" s="2" t="str">
        <x:v>cumplido</x:v>
      </x:c>
      <x:c r="F373" s="2" t="str">
        <x:v>operador</x:v>
      </x:c>
      <x:c r="G373" s="15" t="d">
        <x:v>2026-08-23T00:00:00.000Z</x:v>
      </x:c>
      <x:c r="H373" s="2" t="str">
        <x:v>evidencias/FAC-3-0013-portal_proveedor.pdf</x:v>
      </x:c>
    </x:row>
    <x:row r="374">
      <x:c r="A374" s="2" t="str">
        <x:v>CHK-00373</x:v>
      </x:c>
      <x:c r="B374" s="2" t="str">
        <x:v>FAC-3-0014</x:v>
      </x:c>
      <x:c r="C374" s="2" t="str">
        <x:v>77345678-K</x:v>
      </x:c>
      <x:c r="D374" s="2" t="str">
        <x:v>aceptacion_sii</x:v>
      </x:c>
      <x:c r="E374" s="2" t="str">
        <x:v>cumplido</x:v>
      </x:c>
      <x:c r="F374" s="2" t="str">
        <x:v>operador</x:v>
      </x:c>
      <x:c r="G374" s="15" t="d">
        <x:v>2026-07-15T00:00:00.000Z</x:v>
      </x:c>
      <x:c r="H374" s="2" t="str">
        <x:v>evidencias/FAC-3-0014-aceptacion_sii.pdf</x:v>
      </x:c>
    </x:row>
    <x:row r="375">
      <x:c r="A375" s="2" t="str">
        <x:v>CHK-00374</x:v>
      </x:c>
      <x:c r="B375" s="2" t="str">
        <x:v>FAC-3-0014</x:v>
      </x:c>
      <x:c r="C375" s="2" t="str">
        <x:v>77345678-K</x:v>
      </x:c>
      <x:c r="D375" s="2" t="str">
        <x:v>orden_compra</x:v>
      </x:c>
      <x:c r="E375" s="2" t="str">
        <x:v>no_aplica</x:v>
      </x:c>
      <x:c r="F375" s="2" t="str">
        <x:v>sistema</x:v>
      </x:c>
      <x:c r="G375" s="15" t="d">
        <x:v>2026-07-15T00:00:00.000Z</x:v>
      </x:c>
      <x:c r="H375" s="2" t="str"/>
    </x:row>
    <x:row r="376">
      <x:c r="A376" s="2" t="str">
        <x:v>CHK-00375</x:v>
      </x:c>
      <x:c r="B376" s="2" t="str">
        <x:v>FAC-3-0014</x:v>
      </x:c>
      <x:c r="C376" s="2" t="str">
        <x:v>77345678-K</x:v>
      </x:c>
      <x:c r="D376" s="2" t="str">
        <x:v>hes_conformidad</x:v>
      </x:c>
      <x:c r="E376" s="2" t="str">
        <x:v>cumplido</x:v>
      </x:c>
      <x:c r="F376" s="2" t="str">
        <x:v>pagador</x:v>
      </x:c>
      <x:c r="G376" s="15" t="d">
        <x:v>2026-07-15T00:00:00.000Z</x:v>
      </x:c>
      <x:c r="H376" s="2" t="str">
        <x:v>evidencias/FAC-3-0014-hes_conformidad.pdf</x:v>
      </x:c>
    </x:row>
    <x:row r="377">
      <x:c r="A377" s="2" t="str">
        <x:v>CHK-00376</x:v>
      </x:c>
      <x:c r="B377" s="2" t="str">
        <x:v>FAC-3-0014</x:v>
      </x:c>
      <x:c r="C377" s="2" t="str">
        <x:v>77345678-K</x:v>
      </x:c>
      <x:c r="D377" s="2" t="str">
        <x:v>portal_proveedor</x:v>
      </x:c>
      <x:c r="E377" s="2" t="str">
        <x:v>cumplido</x:v>
      </x:c>
      <x:c r="F377" s="2" t="str">
        <x:v>operador</x:v>
      </x:c>
      <x:c r="G377" s="15" t="d">
        <x:v>2026-07-15T00:00:00.000Z</x:v>
      </x:c>
      <x:c r="H377" s="2" t="str">
        <x:v>evidencias/FAC-3-0014-portal_proveedor.pdf</x:v>
      </x:c>
    </x:row>
    <x:row r="378">
      <x:c r="A378" s="2" t="str">
        <x:v>CHK-00377</x:v>
      </x:c>
      <x:c r="B378" s="2" t="str">
        <x:v>FAC-3-0015</x:v>
      </x:c>
      <x:c r="C378" s="2" t="str">
        <x:v>77345678-K</x:v>
      </x:c>
      <x:c r="D378" s="2" t="str">
        <x:v>aceptacion_sii</x:v>
      </x:c>
      <x:c r="E378" s="2" t="str">
        <x:v>cumplido</x:v>
      </x:c>
      <x:c r="F378" s="2" t="str">
        <x:v>operador</x:v>
      </x:c>
      <x:c r="G378" s="15" t="d">
        <x:v>2026-08-11T00:00:00.000Z</x:v>
      </x:c>
      <x:c r="H378" s="2" t="str">
        <x:v>evidencias/FAC-3-0015-aceptacion_sii.pdf</x:v>
      </x:c>
    </x:row>
    <x:row r="379">
      <x:c r="A379" s="2" t="str">
        <x:v>CHK-00378</x:v>
      </x:c>
      <x:c r="B379" s="2" t="str">
        <x:v>FAC-3-0015</x:v>
      </x:c>
      <x:c r="C379" s="2" t="str">
        <x:v>77345678-K</x:v>
      </x:c>
      <x:c r="D379" s="2" t="str">
        <x:v>orden_compra</x:v>
      </x:c>
      <x:c r="E379" s="2" t="str">
        <x:v>cumplido</x:v>
      </x:c>
      <x:c r="F379" s="2" t="str">
        <x:v>pagador</x:v>
      </x:c>
      <x:c r="G379" s="15" t="d">
        <x:v>2026-08-11T00:00:00.000Z</x:v>
      </x:c>
      <x:c r="H379" s="2" t="str">
        <x:v>evidencias/FAC-3-0015-orden_compra.pdf</x:v>
      </x:c>
    </x:row>
    <x:row r="380">
      <x:c r="A380" s="2" t="str">
        <x:v>CHK-00379</x:v>
      </x:c>
      <x:c r="B380" s="2" t="str">
        <x:v>FAC-3-0015</x:v>
      </x:c>
      <x:c r="C380" s="2" t="str">
        <x:v>77345678-K</x:v>
      </x:c>
      <x:c r="D380" s="2" t="str">
        <x:v>hes_conformidad</x:v>
      </x:c>
      <x:c r="E380" s="2" t="str">
        <x:v>no_aplica</x:v>
      </x:c>
      <x:c r="F380" s="2" t="str">
        <x:v>sistema</x:v>
      </x:c>
      <x:c r="G380" s="15" t="d">
        <x:v>2026-08-11T00:00:00.000Z</x:v>
      </x:c>
      <x:c r="H380" s="2" t="str"/>
    </x:row>
    <x:row r="381">
      <x:c r="A381" s="2" t="str">
        <x:v>CHK-00380</x:v>
      </x:c>
      <x:c r="B381" s="2" t="str">
        <x:v>FAC-3-0015</x:v>
      </x:c>
      <x:c r="C381" s="2" t="str">
        <x:v>77345678-K</x:v>
      </x:c>
      <x:c r="D381" s="2" t="str">
        <x:v>portal_proveedor</x:v>
      </x:c>
      <x:c r="E381" s="2" t="str">
        <x:v>cumplido</x:v>
      </x:c>
      <x:c r="F381" s="2" t="str">
        <x:v>operador</x:v>
      </x:c>
      <x:c r="G381" s="15" t="d">
        <x:v>2026-08-11T00:00:00.000Z</x:v>
      </x:c>
      <x:c r="H381" s="2" t="str">
        <x:v>evidencias/FAC-3-0015-portal_proveedor.pdf</x:v>
      </x:c>
    </x:row>
    <x:row r="382">
      <x:c r="A382" s="2" t="str">
        <x:v>CHK-00381</x:v>
      </x:c>
      <x:c r="B382" s="2" t="str">
        <x:v>FAC-3-0016</x:v>
      </x:c>
      <x:c r="C382" s="2" t="str">
        <x:v>77345678-K</x:v>
      </x:c>
      <x:c r="D382" s="2" t="str">
        <x:v>aceptacion_sii</x:v>
      </x:c>
      <x:c r="E382" s="2" t="str">
        <x:v>cumplido</x:v>
      </x:c>
      <x:c r="F382" s="2" t="str">
        <x:v>operador</x:v>
      </x:c>
      <x:c r="G382" s="15" t="d">
        <x:v>2026-09-14T00:00:00.000Z</x:v>
      </x:c>
      <x:c r="H382" s="2" t="str">
        <x:v>evidencias/FAC-3-0016-aceptacion_sii.pdf</x:v>
      </x:c>
    </x:row>
    <x:row r="383">
      <x:c r="A383" s="2" t="str">
        <x:v>CHK-00382</x:v>
      </x:c>
      <x:c r="B383" s="2" t="str">
        <x:v>FAC-3-0016</x:v>
      </x:c>
      <x:c r="C383" s="2" t="str">
        <x:v>77345678-K</x:v>
      </x:c>
      <x:c r="D383" s="2" t="str">
        <x:v>orden_compra</x:v>
      </x:c>
      <x:c r="E383" s="2" t="str">
        <x:v>cumplido</x:v>
      </x:c>
      <x:c r="F383" s="2" t="str">
        <x:v>pagador</x:v>
      </x:c>
      <x:c r="G383" s="15" t="d">
        <x:v>2026-09-14T00:00:00.000Z</x:v>
      </x:c>
      <x:c r="H383" s="2" t="str">
        <x:v>evidencias/FAC-3-0016-orden_compra.pdf</x:v>
      </x:c>
    </x:row>
    <x:row r="384">
      <x:c r="A384" s="2" t="str">
        <x:v>CHK-00383</x:v>
      </x:c>
      <x:c r="B384" s="2" t="str">
        <x:v>FAC-3-0016</x:v>
      </x:c>
      <x:c r="C384" s="2" t="str">
        <x:v>77345678-K</x:v>
      </x:c>
      <x:c r="D384" s="2" t="str">
        <x:v>hes_conformidad</x:v>
      </x:c>
      <x:c r="E384" s="2" t="str">
        <x:v>cumplido</x:v>
      </x:c>
      <x:c r="F384" s="2" t="str">
        <x:v>pagador</x:v>
      </x:c>
      <x:c r="G384" s="15" t="d">
        <x:v>2026-09-14T00:00:00.000Z</x:v>
      </x:c>
      <x:c r="H384" s="2" t="str">
        <x:v>evidencias/FAC-3-0016-hes_conformidad.pdf</x:v>
      </x:c>
    </x:row>
    <x:row r="385">
      <x:c r="A385" s="2" t="str">
        <x:v>CHK-00384</x:v>
      </x:c>
      <x:c r="B385" s="2" t="str">
        <x:v>FAC-3-0016</x:v>
      </x:c>
      <x:c r="C385" s="2" t="str">
        <x:v>77345678-K</x:v>
      </x:c>
      <x:c r="D385" s="2" t="str">
        <x:v>portal_proveedor</x:v>
      </x:c>
      <x:c r="E385" s="2" t="str">
        <x:v>cumplido</x:v>
      </x:c>
      <x:c r="F385" s="2" t="str">
        <x:v>operador</x:v>
      </x:c>
      <x:c r="G385" s="15" t="d">
        <x:v>2026-09-14T00:00:00.000Z</x:v>
      </x:c>
      <x:c r="H385" s="2" t="str">
        <x:v>evidencias/FAC-3-0016-portal_proveedor.pdf</x:v>
      </x:c>
    </x:row>
    <x:row r="386">
      <x:c r="A386" s="2" t="str">
        <x:v>CHK-00385</x:v>
      </x:c>
      <x:c r="B386" s="2" t="str">
        <x:v>FAC-3-0017</x:v>
      </x:c>
      <x:c r="C386" s="2" t="str">
        <x:v>77345678-K</x:v>
      </x:c>
      <x:c r="D386" s="2" t="str">
        <x:v>aceptacion_sii</x:v>
      </x:c>
      <x:c r="E386" s="2" t="str">
        <x:v>cumplido</x:v>
      </x:c>
      <x:c r="F386" s="2" t="str">
        <x:v>operador</x:v>
      </x:c>
      <x:c r="G386" s="15" t="d">
        <x:v>2026-08-29T00:00:00.000Z</x:v>
      </x:c>
      <x:c r="H386" s="2" t="str">
        <x:v>evidencias/FAC-3-0017-aceptacion_sii.pdf</x:v>
      </x:c>
    </x:row>
    <x:row r="387">
      <x:c r="A387" s="2" t="str">
        <x:v>CHK-00386</x:v>
      </x:c>
      <x:c r="B387" s="2" t="str">
        <x:v>FAC-3-0017</x:v>
      </x:c>
      <x:c r="C387" s="2" t="str">
        <x:v>77345678-K</x:v>
      </x:c>
      <x:c r="D387" s="2" t="str">
        <x:v>orden_compra</x:v>
      </x:c>
      <x:c r="E387" s="2" t="str">
        <x:v>cumplido</x:v>
      </x:c>
      <x:c r="F387" s="2" t="str">
        <x:v>pagador</x:v>
      </x:c>
      <x:c r="G387" s="15" t="d">
        <x:v>2026-08-29T00:00:00.000Z</x:v>
      </x:c>
      <x:c r="H387" s="2" t="str">
        <x:v>evidencias/FAC-3-0017-orden_compra.pdf</x:v>
      </x:c>
    </x:row>
    <x:row r="388">
      <x:c r="A388" s="2" t="str">
        <x:v>CHK-00387</x:v>
      </x:c>
      <x:c r="B388" s="2" t="str">
        <x:v>FAC-3-0017</x:v>
      </x:c>
      <x:c r="C388" s="2" t="str">
        <x:v>77345678-K</x:v>
      </x:c>
      <x:c r="D388" s="2" t="str">
        <x:v>hes_conformidad</x:v>
      </x:c>
      <x:c r="E388" s="2" t="str">
        <x:v>no_aplica</x:v>
      </x:c>
      <x:c r="F388" s="2" t="str">
        <x:v>sistema</x:v>
      </x:c>
      <x:c r="G388" s="15" t="d">
        <x:v>2026-08-29T00:00:00.000Z</x:v>
      </x:c>
      <x:c r="H388" s="2" t="str"/>
    </x:row>
    <x:row r="389">
      <x:c r="A389" s="2" t="str">
        <x:v>CHK-00388</x:v>
      </x:c>
      <x:c r="B389" s="2" t="str">
        <x:v>FAC-3-0017</x:v>
      </x:c>
      <x:c r="C389" s="2" t="str">
        <x:v>77345678-K</x:v>
      </x:c>
      <x:c r="D389" s="2" t="str">
        <x:v>portal_proveedor</x:v>
      </x:c>
      <x:c r="E389" s="2" t="str">
        <x:v>cumplido</x:v>
      </x:c>
      <x:c r="F389" s="2" t="str">
        <x:v>operador</x:v>
      </x:c>
      <x:c r="G389" s="15" t="d">
        <x:v>2026-08-29T00:00:00.000Z</x:v>
      </x:c>
      <x:c r="H389" s="2" t="str">
        <x:v>evidencias/FAC-3-0017-portal_proveedor.pdf</x:v>
      </x:c>
    </x:row>
    <x:row r="390">
      <x:c r="A390" s="2" t="str">
        <x:v>CHK-00389</x:v>
      </x:c>
      <x:c r="B390" s="2" t="str">
        <x:v>FAC-3-0018</x:v>
      </x:c>
      <x:c r="C390" s="2" t="str">
        <x:v>77345678-K</x:v>
      </x:c>
      <x:c r="D390" s="2" t="str">
        <x:v>aceptacion_sii</x:v>
      </x:c>
      <x:c r="E390" s="2" t="str">
        <x:v>cumplido</x:v>
      </x:c>
      <x:c r="F390" s="2" t="str">
        <x:v>operador</x:v>
      </x:c>
      <x:c r="G390" s="15" t="d">
        <x:v>2026-07-27T00:00:00.000Z</x:v>
      </x:c>
      <x:c r="H390" s="2" t="str">
        <x:v>evidencias/FAC-3-0018-aceptacion_sii.pdf</x:v>
      </x:c>
    </x:row>
    <x:row r="391">
      <x:c r="A391" s="2" t="str">
        <x:v>CHK-00390</x:v>
      </x:c>
      <x:c r="B391" s="2" t="str">
        <x:v>FAC-3-0018</x:v>
      </x:c>
      <x:c r="C391" s="2" t="str">
        <x:v>77345678-K</x:v>
      </x:c>
      <x:c r="D391" s="2" t="str">
        <x:v>orden_compra</x:v>
      </x:c>
      <x:c r="E391" s="2" t="str">
        <x:v>pendiente</x:v>
      </x:c>
      <x:c r="F391" s="2" t="str">
        <x:v>pagador</x:v>
      </x:c>
      <x:c r="G391" s="15" t="d">
        <x:v>2026-07-27T00:00:00.000Z</x:v>
      </x:c>
      <x:c r="H391" s="2" t="str"/>
    </x:row>
    <x:row r="392">
      <x:c r="A392" s="2" t="str">
        <x:v>CHK-00391</x:v>
      </x:c>
      <x:c r="B392" s="2" t="str">
        <x:v>FAC-3-0018</x:v>
      </x:c>
      <x:c r="C392" s="2" t="str">
        <x:v>77345678-K</x:v>
      </x:c>
      <x:c r="D392" s="2" t="str">
        <x:v>hes_conformidad</x:v>
      </x:c>
      <x:c r="E392" s="2" t="str">
        <x:v>cumplido</x:v>
      </x:c>
      <x:c r="F392" s="2" t="str">
        <x:v>pagador</x:v>
      </x:c>
      <x:c r="G392" s="15" t="d">
        <x:v>2026-07-27T00:00:00.000Z</x:v>
      </x:c>
      <x:c r="H392" s="2" t="str">
        <x:v>evidencias/FAC-3-0018-hes_conformidad.pdf</x:v>
      </x:c>
    </x:row>
    <x:row r="393">
      <x:c r="A393" s="2" t="str">
        <x:v>CHK-00392</x:v>
      </x:c>
      <x:c r="B393" s="2" t="str">
        <x:v>FAC-3-0018</x:v>
      </x:c>
      <x:c r="C393" s="2" t="str">
        <x:v>77345678-K</x:v>
      </x:c>
      <x:c r="D393" s="2" t="str">
        <x:v>portal_proveedor</x:v>
      </x:c>
      <x:c r="E393" s="2" t="str">
        <x:v>cumplido</x:v>
      </x:c>
      <x:c r="F393" s="2" t="str">
        <x:v>operador</x:v>
      </x:c>
      <x:c r="G393" s="15" t="d">
        <x:v>2026-07-27T00:00:00.000Z</x:v>
      </x:c>
      <x:c r="H393" s="2" t="str">
        <x:v>evidencias/FAC-3-0018-portal_proveedor.pdf</x:v>
      </x:c>
    </x:row>
    <x:row r="394">
      <x:c r="A394" s="2" t="str">
        <x:v>CHK-00393</x:v>
      </x:c>
      <x:c r="B394" s="2" t="str">
        <x:v>FAC-3-0019</x:v>
      </x:c>
      <x:c r="C394" s="2" t="str">
        <x:v>77345678-K</x:v>
      </x:c>
      <x:c r="D394" s="2" t="str">
        <x:v>aceptacion_sii</x:v>
      </x:c>
      <x:c r="E394" s="2" t="str">
        <x:v>cumplido</x:v>
      </x:c>
      <x:c r="F394" s="2" t="str">
        <x:v>operador</x:v>
      </x:c>
      <x:c r="G394" s="15" t="d">
        <x:v>2026-07-30T00:00:00.000Z</x:v>
      </x:c>
      <x:c r="H394" s="2" t="str">
        <x:v>evidencias/FAC-3-0019-aceptacion_sii.pdf</x:v>
      </x:c>
    </x:row>
    <x:row r="395">
      <x:c r="A395" s="2" t="str">
        <x:v>CHK-00394</x:v>
      </x:c>
      <x:c r="B395" s="2" t="str">
        <x:v>FAC-3-0019</x:v>
      </x:c>
      <x:c r="C395" s="2" t="str">
        <x:v>77345678-K</x:v>
      </x:c>
      <x:c r="D395" s="2" t="str">
        <x:v>orden_compra</x:v>
      </x:c>
      <x:c r="E395" s="2" t="str">
        <x:v>no_aplica</x:v>
      </x:c>
      <x:c r="F395" s="2" t="str">
        <x:v>sistema</x:v>
      </x:c>
      <x:c r="G395" s="15" t="d">
        <x:v>2026-07-30T00:00:00.000Z</x:v>
      </x:c>
      <x:c r="H395" s="2" t="str"/>
    </x:row>
    <x:row r="396">
      <x:c r="A396" s="2" t="str">
        <x:v>CHK-00395</x:v>
      </x:c>
      <x:c r="B396" s="2" t="str">
        <x:v>FAC-3-0019</x:v>
      </x:c>
      <x:c r="C396" s="2" t="str">
        <x:v>77345678-K</x:v>
      </x:c>
      <x:c r="D396" s="2" t="str">
        <x:v>hes_conformidad</x:v>
      </x:c>
      <x:c r="E396" s="2" t="str">
        <x:v>cumplido</x:v>
      </x:c>
      <x:c r="F396" s="2" t="str">
        <x:v>pagador</x:v>
      </x:c>
      <x:c r="G396" s="15" t="d">
        <x:v>2026-07-30T00:00:00.000Z</x:v>
      </x:c>
      <x:c r="H396" s="2" t="str">
        <x:v>evidencias/FAC-3-0019-hes_conformidad.pdf</x:v>
      </x:c>
    </x:row>
    <x:row r="397">
      <x:c r="A397" s="2" t="str">
        <x:v>CHK-00396</x:v>
      </x:c>
      <x:c r="B397" s="2" t="str">
        <x:v>FAC-3-0019</x:v>
      </x:c>
      <x:c r="C397" s="2" t="str">
        <x:v>77345678-K</x:v>
      </x:c>
      <x:c r="D397" s="2" t="str">
        <x:v>portal_proveedor</x:v>
      </x:c>
      <x:c r="E397" s="2" t="str">
        <x:v>cumplido</x:v>
      </x:c>
      <x:c r="F397" s="2" t="str">
        <x:v>operador</x:v>
      </x:c>
      <x:c r="G397" s="15" t="d">
        <x:v>2026-07-30T00:00:00.000Z</x:v>
      </x:c>
      <x:c r="H397" s="2" t="str">
        <x:v>evidencias/FAC-3-0019-portal_proveedor.pdf</x:v>
      </x:c>
    </x:row>
    <x:row r="398">
      <x:c r="A398" s="2" t="str">
        <x:v>CHK-00397</x:v>
      </x:c>
      <x:c r="B398" s="2" t="str">
        <x:v>FAC-3-0020</x:v>
      </x:c>
      <x:c r="C398" s="2" t="str">
        <x:v>77345678-K</x:v>
      </x:c>
      <x:c r="D398" s="2" t="str">
        <x:v>aceptacion_sii</x:v>
      </x:c>
      <x:c r="E398" s="2" t="str">
        <x:v>reclamado</x:v>
      </x:c>
      <x:c r="F398" s="2" t="str">
        <x:v>operador</x:v>
      </x:c>
      <x:c r="G398" s="15" t="d">
        <x:v>2026-08-02T00:00:00.000Z</x:v>
      </x:c>
      <x:c r="H398" s="2" t="str"/>
    </x:row>
    <x:row r="399">
      <x:c r="A399" s="2" t="str">
        <x:v>CHK-00398</x:v>
      </x:c>
      <x:c r="B399" s="2" t="str">
        <x:v>FAC-3-0020</x:v>
      </x:c>
      <x:c r="C399" s="2" t="str">
        <x:v>77345678-K</x:v>
      </x:c>
      <x:c r="D399" s="2" t="str">
        <x:v>orden_compra</x:v>
      </x:c>
      <x:c r="E399" s="2" t="str">
        <x:v>cumplido</x:v>
      </x:c>
      <x:c r="F399" s="2" t="str">
        <x:v>pagador</x:v>
      </x:c>
      <x:c r="G399" s="15" t="d">
        <x:v>2026-08-02T00:00:00.000Z</x:v>
      </x:c>
      <x:c r="H399" s="2" t="str">
        <x:v>evidencias/FAC-3-0020-orden_compra.pdf</x:v>
      </x:c>
    </x:row>
    <x:row r="400">
      <x:c r="A400" s="2" t="str">
        <x:v>CHK-00399</x:v>
      </x:c>
      <x:c r="B400" s="2" t="str">
        <x:v>FAC-3-0020</x:v>
      </x:c>
      <x:c r="C400" s="2" t="str">
        <x:v>77345678-K</x:v>
      </x:c>
      <x:c r="D400" s="2" t="str">
        <x:v>hes_conformidad</x:v>
      </x:c>
      <x:c r="E400" s="2" t="str">
        <x:v>no_aplica</x:v>
      </x:c>
      <x:c r="F400" s="2" t="str">
        <x:v>sistema</x:v>
      </x:c>
      <x:c r="G400" s="15" t="d">
        <x:v>2026-08-02T00:00:00.000Z</x:v>
      </x:c>
      <x:c r="H400" s="2" t="str"/>
    </x:row>
    <x:row r="401">
      <x:c r="A401" s="2" t="str">
        <x:v>CHK-00400</x:v>
      </x:c>
      <x:c r="B401" s="2" t="str">
        <x:v>FAC-3-0020</x:v>
      </x:c>
      <x:c r="C401" s="2" t="str">
        <x:v>77345678-K</x:v>
      </x:c>
      <x:c r="D401" s="2" t="str">
        <x:v>portal_proveedor</x:v>
      </x:c>
      <x:c r="E401" s="2" t="str">
        <x:v>cumplido</x:v>
      </x:c>
      <x:c r="F401" s="2" t="str">
        <x:v>operador</x:v>
      </x:c>
      <x:c r="G401" s="15" t="d">
        <x:v>2026-08-02T00:00:00.000Z</x:v>
      </x:c>
      <x:c r="H401" s="2" t="str">
        <x:v>evidencias/FAC-3-0020-portal_proveedor.pdf</x:v>
      </x:c>
    </x:row>
    <x:row r="402">
      <x:c r="A402" s="2" t="str">
        <x:v>CHK-00401</x:v>
      </x:c>
      <x:c r="B402" s="2" t="str">
        <x:v>FAC-3-0021</x:v>
      </x:c>
      <x:c r="C402" s="2" t="str">
        <x:v>77345678-K</x:v>
      </x:c>
      <x:c r="D402" s="2" t="str">
        <x:v>aceptacion_sii</x:v>
      </x:c>
      <x:c r="E402" s="2" t="str">
        <x:v>cumplido</x:v>
      </x:c>
      <x:c r="F402" s="2" t="str">
        <x:v>operador</x:v>
      </x:c>
      <x:c r="G402" s="15" t="d">
        <x:v>2026-08-05T00:00:00.000Z</x:v>
      </x:c>
      <x:c r="H402" s="2" t="str">
        <x:v>evidencias/FAC-3-0021-aceptacion_sii.pdf</x:v>
      </x:c>
    </x:row>
    <x:row r="403">
      <x:c r="A403" s="2" t="str">
        <x:v>CHK-00402</x:v>
      </x:c>
      <x:c r="B403" s="2" t="str">
        <x:v>FAC-3-0021</x:v>
      </x:c>
      <x:c r="C403" s="2" t="str">
        <x:v>77345678-K</x:v>
      </x:c>
      <x:c r="D403" s="2" t="str">
        <x:v>orden_compra</x:v>
      </x:c>
      <x:c r="E403" s="2" t="str">
        <x:v>cumplido</x:v>
      </x:c>
      <x:c r="F403" s="2" t="str">
        <x:v>pagador</x:v>
      </x:c>
      <x:c r="G403" s="15" t="d">
        <x:v>2026-08-05T00:00:00.000Z</x:v>
      </x:c>
      <x:c r="H403" s="2" t="str">
        <x:v>evidencias/FAC-3-0021-orden_compra.pdf</x:v>
      </x:c>
    </x:row>
    <x:row r="404">
      <x:c r="A404" s="2" t="str">
        <x:v>CHK-00403</x:v>
      </x:c>
      <x:c r="B404" s="2" t="str">
        <x:v>FAC-3-0021</x:v>
      </x:c>
      <x:c r="C404" s="2" t="str">
        <x:v>77345678-K</x:v>
      </x:c>
      <x:c r="D404" s="2" t="str">
        <x:v>hes_conformidad</x:v>
      </x:c>
      <x:c r="E404" s="2" t="str">
        <x:v>cumplido</x:v>
      </x:c>
      <x:c r="F404" s="2" t="str">
        <x:v>pagador</x:v>
      </x:c>
      <x:c r="G404" s="15" t="d">
        <x:v>2026-08-05T00:00:00.000Z</x:v>
      </x:c>
      <x:c r="H404" s="2" t="str">
        <x:v>evidencias/FAC-3-0021-hes_conformidad.pdf</x:v>
      </x:c>
    </x:row>
    <x:row r="405">
      <x:c r="A405" s="2" t="str">
        <x:v>CHK-00404</x:v>
      </x:c>
      <x:c r="B405" s="2" t="str">
        <x:v>FAC-3-0021</x:v>
      </x:c>
      <x:c r="C405" s="2" t="str">
        <x:v>77345678-K</x:v>
      </x:c>
      <x:c r="D405" s="2" t="str">
        <x:v>portal_proveedor</x:v>
      </x:c>
      <x:c r="E405" s="2" t="str">
        <x:v>cumplido</x:v>
      </x:c>
      <x:c r="F405" s="2" t="str">
        <x:v>operador</x:v>
      </x:c>
      <x:c r="G405" s="15" t="d">
        <x:v>2026-08-05T00:00:00.000Z</x:v>
      </x:c>
      <x:c r="H405" s="2" t="str">
        <x:v>evidencias/FAC-3-0021-portal_proveedor.pdf</x:v>
      </x:c>
    </x:row>
    <x:row r="406">
      <x:c r="A406" s="2" t="str">
        <x:v>CHK-00405</x:v>
      </x:c>
      <x:c r="B406" s="2" t="str">
        <x:v>FAC-3-0022</x:v>
      </x:c>
      <x:c r="C406" s="2" t="str">
        <x:v>77345678-K</x:v>
      </x:c>
      <x:c r="D406" s="2" t="str">
        <x:v>aceptacion_sii</x:v>
      </x:c>
      <x:c r="E406" s="2" t="str">
        <x:v>cumplido</x:v>
      </x:c>
      <x:c r="F406" s="2" t="str">
        <x:v>operador</x:v>
      </x:c>
      <x:c r="G406" s="15" t="d">
        <x:v>2026-09-25T00:00:00.000Z</x:v>
      </x:c>
      <x:c r="H406" s="2" t="str">
        <x:v>evidencias/FAC-3-0022-aceptacion_sii.pdf</x:v>
      </x:c>
    </x:row>
    <x:row r="407">
      <x:c r="A407" s="2" t="str">
        <x:v>CHK-00406</x:v>
      </x:c>
      <x:c r="B407" s="2" t="str">
        <x:v>FAC-3-0022</x:v>
      </x:c>
      <x:c r="C407" s="2" t="str">
        <x:v>77345678-K</x:v>
      </x:c>
      <x:c r="D407" s="2" t="str">
        <x:v>orden_compra</x:v>
      </x:c>
      <x:c r="E407" s="2" t="str">
        <x:v>cumplido</x:v>
      </x:c>
      <x:c r="F407" s="2" t="str">
        <x:v>pagador</x:v>
      </x:c>
      <x:c r="G407" s="15" t="d">
        <x:v>2026-09-25T00:00:00.000Z</x:v>
      </x:c>
      <x:c r="H407" s="2" t="str">
        <x:v>evidencias/FAC-3-0022-orden_compra.pdf</x:v>
      </x:c>
    </x:row>
    <x:row r="408">
      <x:c r="A408" s="2" t="str">
        <x:v>CHK-00407</x:v>
      </x:c>
      <x:c r="B408" s="2" t="str">
        <x:v>FAC-3-0022</x:v>
      </x:c>
      <x:c r="C408" s="2" t="str">
        <x:v>77345678-K</x:v>
      </x:c>
      <x:c r="D408" s="2" t="str">
        <x:v>hes_conformidad</x:v>
      </x:c>
      <x:c r="E408" s="2" t="str">
        <x:v>no_aplica</x:v>
      </x:c>
      <x:c r="F408" s="2" t="str">
        <x:v>sistema</x:v>
      </x:c>
      <x:c r="G408" s="15" t="d">
        <x:v>2026-09-25T00:00:00.000Z</x:v>
      </x:c>
      <x:c r="H408" s="2" t="str"/>
    </x:row>
    <x:row r="409">
      <x:c r="A409" s="2" t="str">
        <x:v>CHK-00408</x:v>
      </x:c>
      <x:c r="B409" s="2" t="str">
        <x:v>FAC-3-0022</x:v>
      </x:c>
      <x:c r="C409" s="2" t="str">
        <x:v>77345678-K</x:v>
      </x:c>
      <x:c r="D409" s="2" t="str">
        <x:v>portal_proveedor</x:v>
      </x:c>
      <x:c r="E409" s="2" t="str">
        <x:v>cumplido</x:v>
      </x:c>
      <x:c r="F409" s="2" t="str">
        <x:v>operador</x:v>
      </x:c>
      <x:c r="G409" s="15" t="d">
        <x:v>2026-09-25T00:00:00.000Z</x:v>
      </x:c>
      <x:c r="H409" s="2" t="str">
        <x:v>evidencias/FAC-3-0022-portal_proveedor.pdf</x:v>
      </x:c>
    </x:row>
    <x:row r="410">
      <x:c r="A410" s="2" t="str">
        <x:v>CHK-00409</x:v>
      </x:c>
      <x:c r="B410" s="2" t="str">
        <x:v>FAC-3-0023</x:v>
      </x:c>
      <x:c r="C410" s="2" t="str">
        <x:v>77345678-K</x:v>
      </x:c>
      <x:c r="D410" s="2" t="str">
        <x:v>aceptacion_sii</x:v>
      </x:c>
      <x:c r="E410" s="2" t="str">
        <x:v>cumplido</x:v>
      </x:c>
      <x:c r="F410" s="2" t="str">
        <x:v>operador</x:v>
      </x:c>
      <x:c r="G410" s="15" t="d">
        <x:v>2026-09-22T00:00:00.000Z</x:v>
      </x:c>
      <x:c r="H410" s="2" t="str">
        <x:v>evidencias/FAC-3-0023-aceptacion_sii.pdf</x:v>
      </x:c>
    </x:row>
    <x:row r="411">
      <x:c r="A411" s="2" t="str">
        <x:v>CHK-00410</x:v>
      </x:c>
      <x:c r="B411" s="2" t="str">
        <x:v>FAC-3-0023</x:v>
      </x:c>
      <x:c r="C411" s="2" t="str">
        <x:v>77345678-K</x:v>
      </x:c>
      <x:c r="D411" s="2" t="str">
        <x:v>orden_compra</x:v>
      </x:c>
      <x:c r="E411" s="2" t="str">
        <x:v>cumplido</x:v>
      </x:c>
      <x:c r="F411" s="2" t="str">
        <x:v>pagador</x:v>
      </x:c>
      <x:c r="G411" s="15" t="d">
        <x:v>2026-09-22T00:00:00.000Z</x:v>
      </x:c>
      <x:c r="H411" s="2" t="str">
        <x:v>evidencias/FAC-3-0023-orden_compra.pdf</x:v>
      </x:c>
    </x:row>
    <x:row r="412">
      <x:c r="A412" s="2" t="str">
        <x:v>CHK-00411</x:v>
      </x:c>
      <x:c r="B412" s="2" t="str">
        <x:v>FAC-3-0023</x:v>
      </x:c>
      <x:c r="C412" s="2" t="str">
        <x:v>77345678-K</x:v>
      </x:c>
      <x:c r="D412" s="2" t="str">
        <x:v>hes_conformidad</x:v>
      </x:c>
      <x:c r="E412" s="2" t="str">
        <x:v>cumplido</x:v>
      </x:c>
      <x:c r="F412" s="2" t="str">
        <x:v>pagador</x:v>
      </x:c>
      <x:c r="G412" s="15" t="d">
        <x:v>2026-09-22T00:00:00.000Z</x:v>
      </x:c>
      <x:c r="H412" s="2" t="str">
        <x:v>evidencias/FAC-3-0023-hes_conformidad.pdf</x:v>
      </x:c>
    </x:row>
    <x:row r="413">
      <x:c r="A413" s="2" t="str">
        <x:v>CHK-00412</x:v>
      </x:c>
      <x:c r="B413" s="2" t="str">
        <x:v>FAC-3-0023</x:v>
      </x:c>
      <x:c r="C413" s="2" t="str">
        <x:v>77345678-K</x:v>
      </x:c>
      <x:c r="D413" s="2" t="str">
        <x:v>portal_proveedor</x:v>
      </x:c>
      <x:c r="E413" s="2" t="str">
        <x:v>cumplido</x:v>
      </x:c>
      <x:c r="F413" s="2" t="str">
        <x:v>operador</x:v>
      </x:c>
      <x:c r="G413" s="15" t="d">
        <x:v>2026-09-22T00:00:00.000Z</x:v>
      </x:c>
      <x:c r="H413" s="2" t="str">
        <x:v>evidencias/FAC-3-0023-portal_proveedor.pdf</x:v>
      </x:c>
    </x:row>
    <x:row r="414">
      <x:c r="A414" s="2" t="str">
        <x:v>CHK-00413</x:v>
      </x:c>
      <x:c r="B414" s="2" t="str">
        <x:v>FAC-3-0024</x:v>
      </x:c>
      <x:c r="C414" s="2" t="str">
        <x:v>77345678-K</x:v>
      </x:c>
      <x:c r="D414" s="2" t="str">
        <x:v>aceptacion_sii</x:v>
      </x:c>
      <x:c r="E414" s="2" t="str">
        <x:v>cumplido</x:v>
      </x:c>
      <x:c r="F414" s="2" t="str">
        <x:v>operador</x:v>
      </x:c>
      <x:c r="G414" s="15" t="d">
        <x:v>2026-08-14T00:00:00.000Z</x:v>
      </x:c>
      <x:c r="H414" s="2" t="str">
        <x:v>evidencias/FAC-3-0024-aceptacion_sii.pdf</x:v>
      </x:c>
    </x:row>
    <x:row r="415">
      <x:c r="A415" s="2" t="str">
        <x:v>CHK-00414</x:v>
      </x:c>
      <x:c r="B415" s="2" t="str">
        <x:v>FAC-3-0024</x:v>
      </x:c>
      <x:c r="C415" s="2" t="str">
        <x:v>77345678-K</x:v>
      </x:c>
      <x:c r="D415" s="2" t="str">
        <x:v>orden_compra</x:v>
      </x:c>
      <x:c r="E415" s="2" t="str">
        <x:v>no_aplica</x:v>
      </x:c>
      <x:c r="F415" s="2" t="str">
        <x:v>sistema</x:v>
      </x:c>
      <x:c r="G415" s="15" t="d">
        <x:v>2026-08-14T00:00:00.000Z</x:v>
      </x:c>
      <x:c r="H415" s="2" t="str"/>
    </x:row>
    <x:row r="416">
      <x:c r="A416" s="2" t="str">
        <x:v>CHK-00415</x:v>
      </x:c>
      <x:c r="B416" s="2" t="str">
        <x:v>FAC-3-0024</x:v>
      </x:c>
      <x:c r="C416" s="2" t="str">
        <x:v>77345678-K</x:v>
      </x:c>
      <x:c r="D416" s="2" t="str">
        <x:v>hes_conformidad</x:v>
      </x:c>
      <x:c r="E416" s="2" t="str">
        <x:v>cumplido</x:v>
      </x:c>
      <x:c r="F416" s="2" t="str">
        <x:v>pagador</x:v>
      </x:c>
      <x:c r="G416" s="15" t="d">
        <x:v>2026-08-14T00:00:00.000Z</x:v>
      </x:c>
      <x:c r="H416" s="2" t="str">
        <x:v>evidencias/FAC-3-0024-hes_conformidad.pdf</x:v>
      </x:c>
    </x:row>
    <x:row r="417">
      <x:c r="A417" s="2" t="str">
        <x:v>CHK-00416</x:v>
      </x:c>
      <x:c r="B417" s="2" t="str">
        <x:v>FAC-3-0024</x:v>
      </x:c>
      <x:c r="C417" s="2" t="str">
        <x:v>77345678-K</x:v>
      </x:c>
      <x:c r="D417" s="2" t="str">
        <x:v>portal_proveedor</x:v>
      </x:c>
      <x:c r="E417" s="2" t="str">
        <x:v>cumplido</x:v>
      </x:c>
      <x:c r="F417" s="2" t="str">
        <x:v>operador</x:v>
      </x:c>
      <x:c r="G417" s="15" t="d">
        <x:v>2026-08-14T00:00:00.000Z</x:v>
      </x:c>
      <x:c r="H417" s="2" t="str">
        <x:v>evidencias/FAC-3-0024-portal_proveedor.pdf</x:v>
      </x:c>
    </x:row>
    <x:row r="418">
      <x:c r="A418" s="2" t="str">
        <x:v>CHK-00417</x:v>
      </x:c>
      <x:c r="B418" s="2" t="str">
        <x:v>FAC-3-0025</x:v>
      </x:c>
      <x:c r="C418" s="2" t="str">
        <x:v>77345678-K</x:v>
      </x:c>
      <x:c r="D418" s="2" t="str">
        <x:v>aceptacion_sii</x:v>
      </x:c>
      <x:c r="E418" s="2" t="str">
        <x:v>cumplido</x:v>
      </x:c>
      <x:c r="F418" s="2" t="str">
        <x:v>operador</x:v>
      </x:c>
      <x:c r="G418" s="15" t="d">
        <x:v>2026-09-10T00:00:00.000Z</x:v>
      </x:c>
      <x:c r="H418" s="2" t="str">
        <x:v>evidencias/FAC-3-0025-aceptacion_sii.pdf</x:v>
      </x:c>
    </x:row>
    <x:row r="419">
      <x:c r="A419" s="2" t="str">
        <x:v>CHK-00418</x:v>
      </x:c>
      <x:c r="B419" s="2" t="str">
        <x:v>FAC-3-0025</x:v>
      </x:c>
      <x:c r="C419" s="2" t="str">
        <x:v>77345678-K</x:v>
      </x:c>
      <x:c r="D419" s="2" t="str">
        <x:v>orden_compra</x:v>
      </x:c>
      <x:c r="E419" s="2" t="str">
        <x:v>cumplido</x:v>
      </x:c>
      <x:c r="F419" s="2" t="str">
        <x:v>pagador</x:v>
      </x:c>
      <x:c r="G419" s="15" t="d">
        <x:v>2026-09-10T00:00:00.000Z</x:v>
      </x:c>
      <x:c r="H419" s="2" t="str">
        <x:v>evidencias/FAC-3-0025-orden_compra.pdf</x:v>
      </x:c>
    </x:row>
    <x:row r="420">
      <x:c r="A420" s="2" t="str">
        <x:v>CHK-00419</x:v>
      </x:c>
      <x:c r="B420" s="2" t="str">
        <x:v>FAC-3-0025</x:v>
      </x:c>
      <x:c r="C420" s="2" t="str">
        <x:v>77345678-K</x:v>
      </x:c>
      <x:c r="D420" s="2" t="str">
        <x:v>hes_conformidad</x:v>
      </x:c>
      <x:c r="E420" s="2" t="str">
        <x:v>no_aplica</x:v>
      </x:c>
      <x:c r="F420" s="2" t="str">
        <x:v>sistema</x:v>
      </x:c>
      <x:c r="G420" s="15" t="d">
        <x:v>2026-09-10T00:00:00.000Z</x:v>
      </x:c>
      <x:c r="H420" s="2" t="str"/>
    </x:row>
    <x:row r="421">
      <x:c r="A421" s="2" t="str">
        <x:v>CHK-00420</x:v>
      </x:c>
      <x:c r="B421" s="2" t="str">
        <x:v>FAC-3-0025</x:v>
      </x:c>
      <x:c r="C421" s="2" t="str">
        <x:v>77345678-K</x:v>
      </x:c>
      <x:c r="D421" s="2" t="str">
        <x:v>portal_proveedor</x:v>
      </x:c>
      <x:c r="E421" s="2" t="str">
        <x:v>cumplido</x:v>
      </x:c>
      <x:c r="F421" s="2" t="str">
        <x:v>operador</x:v>
      </x:c>
      <x:c r="G421" s="15" t="d">
        <x:v>2026-09-10T00:00:00.000Z</x:v>
      </x:c>
      <x:c r="H421" s="2" t="str">
        <x:v>evidencias/FAC-3-0025-portal_proveedor.pdf</x:v>
      </x:c>
    </x:row>
    <x:row r="422">
      <x:c r="A422" s="2" t="str">
        <x:v>CHK-00421</x:v>
      </x:c>
      <x:c r="B422" s="2" t="str">
        <x:v>FAC-3-0026</x:v>
      </x:c>
      <x:c r="C422" s="2" t="str">
        <x:v>77345678-K</x:v>
      </x:c>
      <x:c r="D422" s="2" t="str">
        <x:v>aceptacion_sii</x:v>
      </x:c>
      <x:c r="E422" s="2" t="str">
        <x:v>cumplido</x:v>
      </x:c>
      <x:c r="F422" s="2" t="str">
        <x:v>operador</x:v>
      </x:c>
      <x:c r="G422" s="15" t="d">
        <x:v>2026-10-14T00:00:00.000Z</x:v>
      </x:c>
      <x:c r="H422" s="2" t="str">
        <x:v>evidencias/FAC-3-0026-aceptacion_sii.pdf</x:v>
      </x:c>
    </x:row>
    <x:row r="423">
      <x:c r="A423" s="2" t="str">
        <x:v>CHK-00422</x:v>
      </x:c>
      <x:c r="B423" s="2" t="str">
        <x:v>FAC-3-0026</x:v>
      </x:c>
      <x:c r="C423" s="2" t="str">
        <x:v>77345678-K</x:v>
      </x:c>
      <x:c r="D423" s="2" t="str">
        <x:v>orden_compra</x:v>
      </x:c>
      <x:c r="E423" s="2" t="str">
        <x:v>cumplido</x:v>
      </x:c>
      <x:c r="F423" s="2" t="str">
        <x:v>pagador</x:v>
      </x:c>
      <x:c r="G423" s="15" t="d">
        <x:v>2026-10-14T00:00:00.000Z</x:v>
      </x:c>
      <x:c r="H423" s="2" t="str">
        <x:v>evidencias/FAC-3-0026-orden_compra.pdf</x:v>
      </x:c>
    </x:row>
    <x:row r="424">
      <x:c r="A424" s="2" t="str">
        <x:v>CHK-00423</x:v>
      </x:c>
      <x:c r="B424" s="2" t="str">
        <x:v>FAC-3-0026</x:v>
      </x:c>
      <x:c r="C424" s="2" t="str">
        <x:v>77345678-K</x:v>
      </x:c>
      <x:c r="D424" s="2" t="str">
        <x:v>hes_conformidad</x:v>
      </x:c>
      <x:c r="E424" s="2" t="str">
        <x:v>cumplido</x:v>
      </x:c>
      <x:c r="F424" s="2" t="str">
        <x:v>pagador</x:v>
      </x:c>
      <x:c r="G424" s="15" t="d">
        <x:v>2026-10-14T00:00:00.000Z</x:v>
      </x:c>
      <x:c r="H424" s="2" t="str">
        <x:v>evidencias/FAC-3-0026-hes_conformidad.pdf</x:v>
      </x:c>
    </x:row>
    <x:row r="425">
      <x:c r="A425" s="2" t="str">
        <x:v>CHK-00424</x:v>
      </x:c>
      <x:c r="B425" s="2" t="str">
        <x:v>FAC-3-0026</x:v>
      </x:c>
      <x:c r="C425" s="2" t="str">
        <x:v>77345678-K</x:v>
      </x:c>
      <x:c r="D425" s="2" t="str">
        <x:v>portal_proveedor</x:v>
      </x:c>
      <x:c r="E425" s="2" t="str">
        <x:v>cumplido</x:v>
      </x:c>
      <x:c r="F425" s="2" t="str">
        <x:v>operador</x:v>
      </x:c>
      <x:c r="G425" s="15" t="d">
        <x:v>2026-10-14T00:00:00.000Z</x:v>
      </x:c>
      <x:c r="H425" s="2" t="str">
        <x:v>evidencias/FAC-3-0026-portal_proveedor.pdf</x:v>
      </x:c>
    </x:row>
    <x:row r="426">
      <x:c r="A426" s="2" t="str">
        <x:v>CHK-00425</x:v>
      </x:c>
      <x:c r="B426" s="2" t="str">
        <x:v>FAC-3-0027</x:v>
      </x:c>
      <x:c r="C426" s="2" t="str">
        <x:v>77345678-K</x:v>
      </x:c>
      <x:c r="D426" s="2" t="str">
        <x:v>aceptacion_sii</x:v>
      </x:c>
      <x:c r="E426" s="2" t="str">
        <x:v>cumplido</x:v>
      </x:c>
      <x:c r="F426" s="2" t="str">
        <x:v>operador</x:v>
      </x:c>
      <x:c r="G426" s="15" t="d">
        <x:v>2026-09-28T00:00:00.000Z</x:v>
      </x:c>
      <x:c r="H426" s="2" t="str">
        <x:v>evidencias/FAC-3-0027-aceptacion_sii.pdf</x:v>
      </x:c>
    </x:row>
    <x:row r="427">
      <x:c r="A427" s="2" t="str">
        <x:v>CHK-00426</x:v>
      </x:c>
      <x:c r="B427" s="2" t="str">
        <x:v>FAC-3-0027</x:v>
      </x:c>
      <x:c r="C427" s="2" t="str">
        <x:v>77345678-K</x:v>
      </x:c>
      <x:c r="D427" s="2" t="str">
        <x:v>orden_compra</x:v>
      </x:c>
      <x:c r="E427" s="2" t="str">
        <x:v>cumplido</x:v>
      </x:c>
      <x:c r="F427" s="2" t="str">
        <x:v>pagador</x:v>
      </x:c>
      <x:c r="G427" s="15" t="d">
        <x:v>2026-09-28T00:00:00.000Z</x:v>
      </x:c>
      <x:c r="H427" s="2" t="str">
        <x:v>evidencias/FAC-3-0027-orden_compra.pdf</x:v>
      </x:c>
    </x:row>
    <x:row r="428">
      <x:c r="A428" s="2" t="str">
        <x:v>CHK-00427</x:v>
      </x:c>
      <x:c r="B428" s="2" t="str">
        <x:v>FAC-3-0027</x:v>
      </x:c>
      <x:c r="C428" s="2" t="str">
        <x:v>77345678-K</x:v>
      </x:c>
      <x:c r="D428" s="2" t="str">
        <x:v>hes_conformidad</x:v>
      </x:c>
      <x:c r="E428" s="2" t="str">
        <x:v>no_aplica</x:v>
      </x:c>
      <x:c r="F428" s="2" t="str">
        <x:v>sistema</x:v>
      </x:c>
      <x:c r="G428" s="15" t="d">
        <x:v>2026-09-28T00:00:00.000Z</x:v>
      </x:c>
      <x:c r="H428" s="2" t="str"/>
    </x:row>
    <x:row r="429">
      <x:c r="A429" s="2" t="str">
        <x:v>CHK-00428</x:v>
      </x:c>
      <x:c r="B429" s="2" t="str">
        <x:v>FAC-3-0027</x:v>
      </x:c>
      <x:c r="C429" s="2" t="str">
        <x:v>77345678-K</x:v>
      </x:c>
      <x:c r="D429" s="2" t="str">
        <x:v>portal_proveedor</x:v>
      </x:c>
      <x:c r="E429" s="2" t="str">
        <x:v>cumplido</x:v>
      </x:c>
      <x:c r="F429" s="2" t="str">
        <x:v>operador</x:v>
      </x:c>
      <x:c r="G429" s="15" t="d">
        <x:v>2026-09-28T00:00:00.000Z</x:v>
      </x:c>
      <x:c r="H429" s="2" t="str">
        <x:v>evidencias/FAC-3-0027-portal_proveedor.pdf</x:v>
      </x:c>
    </x:row>
    <x:row r="430">
      <x:c r="A430" s="2" t="str">
        <x:v>CHK-00429</x:v>
      </x:c>
      <x:c r="B430" s="2" t="str">
        <x:v>FAC-3-0028</x:v>
      </x:c>
      <x:c r="C430" s="2" t="str">
        <x:v>77345678-K</x:v>
      </x:c>
      <x:c r="D430" s="2" t="str">
        <x:v>aceptacion_sii</x:v>
      </x:c>
      <x:c r="E430" s="2" t="str">
        <x:v>cumplido</x:v>
      </x:c>
      <x:c r="F430" s="2" t="str">
        <x:v>operador</x:v>
      </x:c>
      <x:c r="G430" s="15" t="d">
        <x:v>2026-08-26T00:00:00.000Z</x:v>
      </x:c>
      <x:c r="H430" s="2" t="str">
        <x:v>evidencias/FAC-3-0028-aceptacion_sii.pdf</x:v>
      </x:c>
    </x:row>
    <x:row r="431">
      <x:c r="A431" s="2" t="str">
        <x:v>CHK-00430</x:v>
      </x:c>
      <x:c r="B431" s="2" t="str">
        <x:v>FAC-3-0028</x:v>
      </x:c>
      <x:c r="C431" s="2" t="str">
        <x:v>77345678-K</x:v>
      </x:c>
      <x:c r="D431" s="2" t="str">
        <x:v>orden_compra</x:v>
      </x:c>
      <x:c r="E431" s="2" t="str">
        <x:v>pendiente</x:v>
      </x:c>
      <x:c r="F431" s="2" t="str">
        <x:v>pagador</x:v>
      </x:c>
      <x:c r="G431" s="15" t="d">
        <x:v>2026-08-26T00:00:00.000Z</x:v>
      </x:c>
      <x:c r="H431" s="2" t="str"/>
    </x:row>
    <x:row r="432">
      <x:c r="A432" s="2" t="str">
        <x:v>CHK-00431</x:v>
      </x:c>
      <x:c r="B432" s="2" t="str">
        <x:v>FAC-3-0028</x:v>
      </x:c>
      <x:c r="C432" s="2" t="str">
        <x:v>77345678-K</x:v>
      </x:c>
      <x:c r="D432" s="2" t="str">
        <x:v>hes_conformidad</x:v>
      </x:c>
      <x:c r="E432" s="2" t="str">
        <x:v>cumplido</x:v>
      </x:c>
      <x:c r="F432" s="2" t="str">
        <x:v>pagador</x:v>
      </x:c>
      <x:c r="G432" s="15" t="d">
        <x:v>2026-08-26T00:00:00.000Z</x:v>
      </x:c>
      <x:c r="H432" s="2" t="str">
        <x:v>evidencias/FAC-3-0028-hes_conformidad.pdf</x:v>
      </x:c>
    </x:row>
    <x:row r="433">
      <x:c r="A433" s="2" t="str">
        <x:v>CHK-00432</x:v>
      </x:c>
      <x:c r="B433" s="2" t="str">
        <x:v>FAC-3-0028</x:v>
      </x:c>
      <x:c r="C433" s="2" t="str">
        <x:v>77345678-K</x:v>
      </x:c>
      <x:c r="D433" s="2" t="str">
        <x:v>portal_proveedor</x:v>
      </x:c>
      <x:c r="E433" s="2" t="str">
        <x:v>cumplido</x:v>
      </x:c>
      <x:c r="F433" s="2" t="str">
        <x:v>operador</x:v>
      </x:c>
      <x:c r="G433" s="15" t="d">
        <x:v>2026-08-26T00:00:00.000Z</x:v>
      </x:c>
      <x:c r="H433" s="2" t="str">
        <x:v>evidencias/FAC-3-0028-portal_proveedor.pdf</x:v>
      </x:c>
    </x:row>
    <x:row r="434">
      <x:c r="A434" s="2" t="str">
        <x:v>CHK-00433</x:v>
      </x:c>
      <x:c r="B434" s="2" t="str">
        <x:v>FAC-3-0029</x:v>
      </x:c>
      <x:c r="C434" s="2" t="str">
        <x:v>77345678-K</x:v>
      </x:c>
      <x:c r="D434" s="2" t="str">
        <x:v>aceptacion_sii</x:v>
      </x:c>
      <x:c r="E434" s="2" t="str">
        <x:v>cumplido</x:v>
      </x:c>
      <x:c r="F434" s="2" t="str">
        <x:v>operador</x:v>
      </x:c>
      <x:c r="G434" s="15" t="d">
        <x:v>2026-08-29T00:00:00.000Z</x:v>
      </x:c>
      <x:c r="H434" s="2" t="str">
        <x:v>evidencias/FAC-3-0029-aceptacion_sii.pdf</x:v>
      </x:c>
    </x:row>
    <x:row r="435">
      <x:c r="A435" s="2" t="str">
        <x:v>CHK-00434</x:v>
      </x:c>
      <x:c r="B435" s="2" t="str">
        <x:v>FAC-3-0029</x:v>
      </x:c>
      <x:c r="C435" s="2" t="str">
        <x:v>77345678-K</x:v>
      </x:c>
      <x:c r="D435" s="2" t="str">
        <x:v>orden_compra</x:v>
      </x:c>
      <x:c r="E435" s="2" t="str">
        <x:v>no_aplica</x:v>
      </x:c>
      <x:c r="F435" s="2" t="str">
        <x:v>sistema</x:v>
      </x:c>
      <x:c r="G435" s="15" t="d">
        <x:v>2026-08-29T00:00:00.000Z</x:v>
      </x:c>
      <x:c r="H435" s="2" t="str"/>
    </x:row>
    <x:row r="436">
      <x:c r="A436" s="2" t="str">
        <x:v>CHK-00435</x:v>
      </x:c>
      <x:c r="B436" s="2" t="str">
        <x:v>FAC-3-0029</x:v>
      </x:c>
      <x:c r="C436" s="2" t="str">
        <x:v>77345678-K</x:v>
      </x:c>
      <x:c r="D436" s="2" t="str">
        <x:v>hes_conformidad</x:v>
      </x:c>
      <x:c r="E436" s="2" t="str">
        <x:v>cumplido</x:v>
      </x:c>
      <x:c r="F436" s="2" t="str">
        <x:v>pagador</x:v>
      </x:c>
      <x:c r="G436" s="15" t="d">
        <x:v>2026-08-29T00:00:00.000Z</x:v>
      </x:c>
      <x:c r="H436" s="2" t="str">
        <x:v>evidencias/FAC-3-0029-hes_conformidad.pdf</x:v>
      </x:c>
    </x:row>
    <x:row r="437">
      <x:c r="A437" s="2" t="str">
        <x:v>CHK-00436</x:v>
      </x:c>
      <x:c r="B437" s="2" t="str">
        <x:v>FAC-3-0029</x:v>
      </x:c>
      <x:c r="C437" s="2" t="str">
        <x:v>77345678-K</x:v>
      </x:c>
      <x:c r="D437" s="2" t="str">
        <x:v>portal_proveedor</x:v>
      </x:c>
      <x:c r="E437" s="2" t="str">
        <x:v>cumplido</x:v>
      </x:c>
      <x:c r="F437" s="2" t="str">
        <x:v>operador</x:v>
      </x:c>
      <x:c r="G437" s="15" t="d">
        <x:v>2026-08-29T00:00:00.000Z</x:v>
      </x:c>
      <x:c r="H437" s="2" t="str">
        <x:v>evidencias/FAC-3-0029-portal_proveedor.pdf</x:v>
      </x:c>
    </x:row>
    <x:row r="438">
      <x:c r="A438" s="2" t="str">
        <x:v>CHK-00437</x:v>
      </x:c>
      <x:c r="B438" s="2" t="str">
        <x:v>FAC-3-0030</x:v>
      </x:c>
      <x:c r="C438" s="2" t="str">
        <x:v>77345678-K</x:v>
      </x:c>
      <x:c r="D438" s="2" t="str">
        <x:v>aceptacion_sii</x:v>
      </x:c>
      <x:c r="E438" s="2" t="str">
        <x:v>reclamado</x:v>
      </x:c>
      <x:c r="F438" s="2" t="str">
        <x:v>operador</x:v>
      </x:c>
      <x:c r="G438" s="15" t="d">
        <x:v>2026-09-01T00:00:00.000Z</x:v>
      </x:c>
      <x:c r="H438" s="2" t="str"/>
    </x:row>
    <x:row r="439">
      <x:c r="A439" s="2" t="str">
        <x:v>CHK-00438</x:v>
      </x:c>
      <x:c r="B439" s="2" t="str">
        <x:v>FAC-3-0030</x:v>
      </x:c>
      <x:c r="C439" s="2" t="str">
        <x:v>77345678-K</x:v>
      </x:c>
      <x:c r="D439" s="2" t="str">
        <x:v>orden_compra</x:v>
      </x:c>
      <x:c r="E439" s="2" t="str">
        <x:v>cumplido</x:v>
      </x:c>
      <x:c r="F439" s="2" t="str">
        <x:v>pagador</x:v>
      </x:c>
      <x:c r="G439" s="15" t="d">
        <x:v>2026-09-01T00:00:00.000Z</x:v>
      </x:c>
      <x:c r="H439" s="2" t="str">
        <x:v>evidencias/FAC-3-0030-orden_compra.pdf</x:v>
      </x:c>
    </x:row>
    <x:row r="440">
      <x:c r="A440" s="2" t="str">
        <x:v>CHK-00439</x:v>
      </x:c>
      <x:c r="B440" s="2" t="str">
        <x:v>FAC-3-0030</x:v>
      </x:c>
      <x:c r="C440" s="2" t="str">
        <x:v>77345678-K</x:v>
      </x:c>
      <x:c r="D440" s="2" t="str">
        <x:v>hes_conformidad</x:v>
      </x:c>
      <x:c r="E440" s="2" t="str">
        <x:v>no_aplica</x:v>
      </x:c>
      <x:c r="F440" s="2" t="str">
        <x:v>sistema</x:v>
      </x:c>
      <x:c r="G440" s="15" t="d">
        <x:v>2026-09-01T00:00:00.000Z</x:v>
      </x:c>
      <x:c r="H440" s="2" t="str"/>
    </x:row>
    <x:row r="441">
      <x:c r="A441" s="2" t="str">
        <x:v>CHK-00440</x:v>
      </x:c>
      <x:c r="B441" s="2" t="str">
        <x:v>FAC-3-0030</x:v>
      </x:c>
      <x:c r="C441" s="2" t="str">
        <x:v>77345678-K</x:v>
      </x:c>
      <x:c r="D441" s="2" t="str">
        <x:v>portal_proveedor</x:v>
      </x:c>
      <x:c r="E441" s="2" t="str">
        <x:v>cumplido</x:v>
      </x:c>
      <x:c r="F441" s="2" t="str">
        <x:v>operador</x:v>
      </x:c>
      <x:c r="G441" s="15" t="d">
        <x:v>2026-09-01T00:00:00.000Z</x:v>
      </x:c>
      <x:c r="H441" s="2" t="str">
        <x:v>evidencias/FAC-3-0030-portal_proveedor.pdf</x:v>
      </x:c>
    </x:row>
    <x:row r="442">
      <x:c r="A442" s="2" t="str">
        <x:v>CHK-00441</x:v>
      </x:c>
      <x:c r="B442" s="2" t="str">
        <x:v>FAC-3-0031</x:v>
      </x:c>
      <x:c r="C442" s="2" t="str">
        <x:v>77345678-K</x:v>
      </x:c>
      <x:c r="D442" s="2" t="str">
        <x:v>aceptacion_sii</x:v>
      </x:c>
      <x:c r="E442" s="2" t="str">
        <x:v>cumplido</x:v>
      </x:c>
      <x:c r="F442" s="2" t="str">
        <x:v>operador</x:v>
      </x:c>
      <x:c r="G442" s="15" t="d">
        <x:v>2026-09-04T00:00:00.000Z</x:v>
      </x:c>
      <x:c r="H442" s="2" t="str">
        <x:v>evidencias/FAC-3-0031-aceptacion_sii.pdf</x:v>
      </x:c>
    </x:row>
    <x:row r="443">
      <x:c r="A443" s="2" t="str">
        <x:v>CHK-00442</x:v>
      </x:c>
      <x:c r="B443" s="2" t="str">
        <x:v>FAC-3-0031</x:v>
      </x:c>
      <x:c r="C443" s="2" t="str">
        <x:v>77345678-K</x:v>
      </x:c>
      <x:c r="D443" s="2" t="str">
        <x:v>orden_compra</x:v>
      </x:c>
      <x:c r="E443" s="2" t="str">
        <x:v>cumplido</x:v>
      </x:c>
      <x:c r="F443" s="2" t="str">
        <x:v>pagador</x:v>
      </x:c>
      <x:c r="G443" s="15" t="d">
        <x:v>2026-09-04T00:00:00.000Z</x:v>
      </x:c>
      <x:c r="H443" s="2" t="str">
        <x:v>evidencias/FAC-3-0031-orden_compra.pdf</x:v>
      </x:c>
    </x:row>
    <x:row r="444">
      <x:c r="A444" s="2" t="str">
        <x:v>CHK-00443</x:v>
      </x:c>
      <x:c r="B444" s="2" t="str">
        <x:v>FAC-3-0031</x:v>
      </x:c>
      <x:c r="C444" s="2" t="str">
        <x:v>77345678-K</x:v>
      </x:c>
      <x:c r="D444" s="2" t="str">
        <x:v>hes_conformidad</x:v>
      </x:c>
      <x:c r="E444" s="2" t="str">
        <x:v>cumplido</x:v>
      </x:c>
      <x:c r="F444" s="2" t="str">
        <x:v>pagador</x:v>
      </x:c>
      <x:c r="G444" s="15" t="d">
        <x:v>2026-09-04T00:00:00.000Z</x:v>
      </x:c>
      <x:c r="H444" s="2" t="str">
        <x:v>evidencias/FAC-3-0031-hes_conformidad.pdf</x:v>
      </x:c>
    </x:row>
    <x:row r="445">
      <x:c r="A445" s="2" t="str">
        <x:v>CHK-00444</x:v>
      </x:c>
      <x:c r="B445" s="2" t="str">
        <x:v>FAC-3-0031</x:v>
      </x:c>
      <x:c r="C445" s="2" t="str">
        <x:v>77345678-K</x:v>
      </x:c>
      <x:c r="D445" s="2" t="str">
        <x:v>portal_proveedor</x:v>
      </x:c>
      <x:c r="E445" s="2" t="str">
        <x:v>cumplido</x:v>
      </x:c>
      <x:c r="F445" s="2" t="str">
        <x:v>operador</x:v>
      </x:c>
      <x:c r="G445" s="15" t="d">
        <x:v>2026-09-04T00:00:00.000Z</x:v>
      </x:c>
      <x:c r="H445" s="2" t="str">
        <x:v>evidencias/FAC-3-0031-portal_proveedor.pdf</x:v>
      </x:c>
    </x:row>
    <x:row r="446">
      <x:c r="A446" s="2" t="str">
        <x:v>CHK-00445</x:v>
      </x:c>
      <x:c r="B446" s="2" t="str">
        <x:v>FAC-3-0032</x:v>
      </x:c>
      <x:c r="C446" s="2" t="str">
        <x:v>77345678-K</x:v>
      </x:c>
      <x:c r="D446" s="2" t="str">
        <x:v>aceptacion_sii</x:v>
      </x:c>
      <x:c r="E446" s="2" t="str">
        <x:v>cumplido</x:v>
      </x:c>
      <x:c r="F446" s="2" t="str">
        <x:v>operador</x:v>
      </x:c>
      <x:c r="G446" s="15" t="d">
        <x:v>2026-09-07T00:00:00.000Z</x:v>
      </x:c>
      <x:c r="H446" s="2" t="str">
        <x:v>evidencias/FAC-3-0032-aceptacion_sii.pdf</x:v>
      </x:c>
    </x:row>
    <x:row r="447">
      <x:c r="A447" s="2" t="str">
        <x:v>CHK-00446</x:v>
      </x:c>
      <x:c r="B447" s="2" t="str">
        <x:v>FAC-3-0032</x:v>
      </x:c>
      <x:c r="C447" s="2" t="str">
        <x:v>77345678-K</x:v>
      </x:c>
      <x:c r="D447" s="2" t="str">
        <x:v>orden_compra</x:v>
      </x:c>
      <x:c r="E447" s="2" t="str">
        <x:v>cumplido</x:v>
      </x:c>
      <x:c r="F447" s="2" t="str">
        <x:v>pagador</x:v>
      </x:c>
      <x:c r="G447" s="15" t="d">
        <x:v>2026-09-07T00:00:00.000Z</x:v>
      </x:c>
      <x:c r="H447" s="2" t="str">
        <x:v>evidencias/FAC-3-0032-orden_compra.pdf</x:v>
      </x:c>
    </x:row>
    <x:row r="448">
      <x:c r="A448" s="2" t="str">
        <x:v>CHK-00447</x:v>
      </x:c>
      <x:c r="B448" s="2" t="str">
        <x:v>FAC-3-0032</x:v>
      </x:c>
      <x:c r="C448" s="2" t="str">
        <x:v>77345678-K</x:v>
      </x:c>
      <x:c r="D448" s="2" t="str">
        <x:v>hes_conformidad</x:v>
      </x:c>
      <x:c r="E448" s="2" t="str">
        <x:v>no_aplica</x:v>
      </x:c>
      <x:c r="F448" s="2" t="str">
        <x:v>sistema</x:v>
      </x:c>
      <x:c r="G448" s="15" t="d">
        <x:v>2026-09-07T00:00:00.000Z</x:v>
      </x:c>
      <x:c r="H448" s="2" t="str"/>
    </x:row>
    <x:row r="449">
      <x:c r="A449" s="2" t="str">
        <x:v>CHK-00448</x:v>
      </x:c>
      <x:c r="B449" s="2" t="str">
        <x:v>FAC-3-0032</x:v>
      </x:c>
      <x:c r="C449" s="2" t="str">
        <x:v>77345678-K</x:v>
      </x:c>
      <x:c r="D449" s="2" t="str">
        <x:v>portal_proveedor</x:v>
      </x:c>
      <x:c r="E449" s="2" t="str">
        <x:v>cumplido</x:v>
      </x:c>
      <x:c r="F449" s="2" t="str">
        <x:v>operador</x:v>
      </x:c>
      <x:c r="G449" s="15" t="d">
        <x:v>2026-09-07T00:00:00.000Z</x:v>
      </x:c>
      <x:c r="H449" s="2" t="str">
        <x:v>evidencias/FAC-3-0032-portal_proveedor.pdf</x:v>
      </x:c>
    </x:row>
    <x:row r="450">
      <x:c r="A450" s="2" t="str">
        <x:v>CHK-00449</x:v>
      </x:c>
      <x:c r="B450" s="2" t="str">
        <x:v>FAC-3-0033</x:v>
      </x:c>
      <x:c r="C450" s="2" t="str">
        <x:v>77345678-K</x:v>
      </x:c>
      <x:c r="D450" s="2" t="str">
        <x:v>aceptacion_sii</x:v>
      </x:c>
      <x:c r="E450" s="2" t="str">
        <x:v>cumplido</x:v>
      </x:c>
      <x:c r="F450" s="2" t="str">
        <x:v>operador</x:v>
      </x:c>
      <x:c r="G450" s="15" t="d">
        <x:v>2026-09-10T00:00:00.000Z</x:v>
      </x:c>
      <x:c r="H450" s="2" t="str">
        <x:v>evidencias/FAC-3-0033-aceptacion_sii.pdf</x:v>
      </x:c>
    </x:row>
    <x:row r="451">
      <x:c r="A451" s="2" t="str">
        <x:v>CHK-00450</x:v>
      </x:c>
      <x:c r="B451" s="2" t="str">
        <x:v>FAC-3-0033</x:v>
      </x:c>
      <x:c r="C451" s="2" t="str">
        <x:v>77345678-K</x:v>
      </x:c>
      <x:c r="D451" s="2" t="str">
        <x:v>orden_compra</x:v>
      </x:c>
      <x:c r="E451" s="2" t="str">
        <x:v>cumplido</x:v>
      </x:c>
      <x:c r="F451" s="2" t="str">
        <x:v>pagador</x:v>
      </x:c>
      <x:c r="G451" s="15" t="d">
        <x:v>2026-09-10T00:00:00.000Z</x:v>
      </x:c>
      <x:c r="H451" s="2" t="str">
        <x:v>evidencias/FAC-3-0033-orden_compra.pdf</x:v>
      </x:c>
    </x:row>
    <x:row r="452">
      <x:c r="A452" s="2" t="str">
        <x:v>CHK-00451</x:v>
      </x:c>
      <x:c r="B452" s="2" t="str">
        <x:v>FAC-3-0033</x:v>
      </x:c>
      <x:c r="C452" s="2" t="str">
        <x:v>77345678-K</x:v>
      </x:c>
      <x:c r="D452" s="2" t="str">
        <x:v>hes_conformidad</x:v>
      </x:c>
      <x:c r="E452" s="2" t="str">
        <x:v>cumplido</x:v>
      </x:c>
      <x:c r="F452" s="2" t="str">
        <x:v>pagador</x:v>
      </x:c>
      <x:c r="G452" s="15" t="d">
        <x:v>2026-09-10T00:00:00.000Z</x:v>
      </x:c>
      <x:c r="H452" s="2" t="str">
        <x:v>evidencias/FAC-3-0033-hes_conformidad.pdf</x:v>
      </x:c>
    </x:row>
    <x:row r="453">
      <x:c r="A453" s="2" t="str">
        <x:v>CHK-00452</x:v>
      </x:c>
      <x:c r="B453" s="2" t="str">
        <x:v>FAC-3-0033</x:v>
      </x:c>
      <x:c r="C453" s="2" t="str">
        <x:v>77345678-K</x:v>
      </x:c>
      <x:c r="D453" s="2" t="str">
        <x:v>portal_proveedor</x:v>
      </x:c>
      <x:c r="E453" s="2" t="str">
        <x:v>cumplido</x:v>
      </x:c>
      <x:c r="F453" s="2" t="str">
        <x:v>operador</x:v>
      </x:c>
      <x:c r="G453" s="15" t="d">
        <x:v>2026-09-10T00:00:00.000Z</x:v>
      </x:c>
      <x:c r="H453" s="2" t="str">
        <x:v>evidencias/FAC-3-0033-portal_proveedor.pdf</x:v>
      </x:c>
    </x:row>
    <x:row r="454">
      <x:c r="A454" s="2" t="str">
        <x:v>CHK-00453</x:v>
      </x:c>
      <x:c r="B454" s="2" t="str">
        <x:v>FAC-3-0034</x:v>
      </x:c>
      <x:c r="C454" s="2" t="str">
        <x:v>77345678-K</x:v>
      </x:c>
      <x:c r="D454" s="2" t="str">
        <x:v>aceptacion_sii</x:v>
      </x:c>
      <x:c r="E454" s="2" t="str">
        <x:v>cumplido</x:v>
      </x:c>
      <x:c r="F454" s="2" t="str">
        <x:v>operador</x:v>
      </x:c>
      <x:c r="G454" s="15" t="d">
        <x:v>2026-09-13T00:00:00.000Z</x:v>
      </x:c>
      <x:c r="H454" s="2" t="str">
        <x:v>evidencias/FAC-3-0034-aceptacion_sii.pdf</x:v>
      </x:c>
    </x:row>
    <x:row r="455">
      <x:c r="A455" s="2" t="str">
        <x:v>CHK-00454</x:v>
      </x:c>
      <x:c r="B455" s="2" t="str">
        <x:v>FAC-3-0034</x:v>
      </x:c>
      <x:c r="C455" s="2" t="str">
        <x:v>77345678-K</x:v>
      </x:c>
      <x:c r="D455" s="2" t="str">
        <x:v>orden_compra</x:v>
      </x:c>
      <x:c r="E455" s="2" t="str">
        <x:v>no_aplica</x:v>
      </x:c>
      <x:c r="F455" s="2" t="str">
        <x:v>sistema</x:v>
      </x:c>
      <x:c r="G455" s="15" t="d">
        <x:v>2026-09-13T00:00:00.000Z</x:v>
      </x:c>
      <x:c r="H455" s="2" t="str"/>
    </x:row>
    <x:row r="456">
      <x:c r="A456" s="2" t="str">
        <x:v>CHK-00455</x:v>
      </x:c>
      <x:c r="B456" s="2" t="str">
        <x:v>FAC-3-0034</x:v>
      </x:c>
      <x:c r="C456" s="2" t="str">
        <x:v>77345678-K</x:v>
      </x:c>
      <x:c r="D456" s="2" t="str">
        <x:v>hes_conformidad</x:v>
      </x:c>
      <x:c r="E456" s="2" t="str">
        <x:v>cumplido</x:v>
      </x:c>
      <x:c r="F456" s="2" t="str">
        <x:v>pagador</x:v>
      </x:c>
      <x:c r="G456" s="15" t="d">
        <x:v>2026-09-13T00:00:00.000Z</x:v>
      </x:c>
      <x:c r="H456" s="2" t="str">
        <x:v>evidencias/FAC-3-0034-hes_conformidad.pdf</x:v>
      </x:c>
    </x:row>
    <x:row r="457">
      <x:c r="A457" s="2" t="str">
        <x:v>CHK-00456</x:v>
      </x:c>
      <x:c r="B457" s="2" t="str">
        <x:v>FAC-3-0034</x:v>
      </x:c>
      <x:c r="C457" s="2" t="str">
        <x:v>77345678-K</x:v>
      </x:c>
      <x:c r="D457" s="2" t="str">
        <x:v>portal_proveedor</x:v>
      </x:c>
      <x:c r="E457" s="2" t="str">
        <x:v>cumplido</x:v>
      </x:c>
      <x:c r="F457" s="2" t="str">
        <x:v>operador</x:v>
      </x:c>
      <x:c r="G457" s="15" t="d">
        <x:v>2026-09-13T00:00:00.000Z</x:v>
      </x:c>
      <x:c r="H457" s="2" t="str">
        <x:v>evidencias/FAC-3-0034-portal_proveedor.pdf</x:v>
      </x:c>
    </x:row>
    <x:row r="458">
      <x:c r="A458" s="2" t="str">
        <x:v>CHK-00457</x:v>
      </x:c>
      <x:c r="B458" s="2" t="str">
        <x:v>FAC-3-0035</x:v>
      </x:c>
      <x:c r="C458" s="2" t="str">
        <x:v>77345678-K</x:v>
      </x:c>
      <x:c r="D458" s="2" t="str">
        <x:v>aceptacion_sii</x:v>
      </x:c>
      <x:c r="E458" s="2" t="str">
        <x:v>cumplido</x:v>
      </x:c>
      <x:c r="F458" s="2" t="str">
        <x:v>operador</x:v>
      </x:c>
      <x:c r="G458" s="15" t="d">
        <x:v>2026-10-10T00:00:00.000Z</x:v>
      </x:c>
      <x:c r="H458" s="2" t="str">
        <x:v>evidencias/FAC-3-0035-aceptacion_sii.pdf</x:v>
      </x:c>
    </x:row>
    <x:row r="459">
      <x:c r="A459" s="2" t="str">
        <x:v>CHK-00458</x:v>
      </x:c>
      <x:c r="B459" s="2" t="str">
        <x:v>FAC-3-0035</x:v>
      </x:c>
      <x:c r="C459" s="2" t="str">
        <x:v>77345678-K</x:v>
      </x:c>
      <x:c r="D459" s="2" t="str">
        <x:v>orden_compra</x:v>
      </x:c>
      <x:c r="E459" s="2" t="str">
        <x:v>cumplido</x:v>
      </x:c>
      <x:c r="F459" s="2" t="str">
        <x:v>pagador</x:v>
      </x:c>
      <x:c r="G459" s="15" t="d">
        <x:v>2026-10-10T00:00:00.000Z</x:v>
      </x:c>
      <x:c r="H459" s="2" t="str">
        <x:v>evidencias/FAC-3-0035-orden_compra.pdf</x:v>
      </x:c>
    </x:row>
    <x:row r="460">
      <x:c r="A460" s="2" t="str">
        <x:v>CHK-00459</x:v>
      </x:c>
      <x:c r="B460" s="2" t="str">
        <x:v>FAC-3-0035</x:v>
      </x:c>
      <x:c r="C460" s="2" t="str">
        <x:v>77345678-K</x:v>
      </x:c>
      <x:c r="D460" s="2" t="str">
        <x:v>hes_conformidad</x:v>
      </x:c>
      <x:c r="E460" s="2" t="str">
        <x:v>no_aplica</x:v>
      </x:c>
      <x:c r="F460" s="2" t="str">
        <x:v>sistema</x:v>
      </x:c>
      <x:c r="G460" s="15" t="d">
        <x:v>2026-10-10T00:00:00.000Z</x:v>
      </x:c>
      <x:c r="H460" s="2" t="str"/>
    </x:row>
    <x:row r="461">
      <x:c r="A461" s="2" t="str">
        <x:v>CHK-00460</x:v>
      </x:c>
      <x:c r="B461" s="2" t="str">
        <x:v>FAC-3-0035</x:v>
      </x:c>
      <x:c r="C461" s="2" t="str">
        <x:v>77345678-K</x:v>
      </x:c>
      <x:c r="D461" s="2" t="str">
        <x:v>portal_proveedor</x:v>
      </x:c>
      <x:c r="E461" s="2" t="str">
        <x:v>cumplido</x:v>
      </x:c>
      <x:c r="F461" s="2" t="str">
        <x:v>operador</x:v>
      </x:c>
      <x:c r="G461" s="15" t="d">
        <x:v>2026-10-10T00:00:00.000Z</x:v>
      </x:c>
      <x:c r="H461" s="2" t="str">
        <x:v>evidencias/FAC-3-0035-portal_proveedor.pdf</x:v>
      </x:c>
    </x:row>
    <x:row r="462">
      <x:c r="A462" s="2" t="str">
        <x:v>CHK-00461</x:v>
      </x:c>
      <x:c r="B462" s="2" t="str">
        <x:v>FAC-3-0036</x:v>
      </x:c>
      <x:c r="C462" s="2" t="str">
        <x:v>77345678-K</x:v>
      </x:c>
      <x:c r="D462" s="2" t="str">
        <x:v>aceptacion_sii</x:v>
      </x:c>
      <x:c r="E462" s="2" t="str">
        <x:v>cumplido</x:v>
      </x:c>
      <x:c r="F462" s="2" t="str">
        <x:v>operador</x:v>
      </x:c>
      <x:c r="G462" s="15" t="d">
        <x:v>2026-09-19T00:00:00.000Z</x:v>
      </x:c>
      <x:c r="H462" s="2" t="str">
        <x:v>evidencias/FAC-3-0036-aceptacion_sii.pdf</x:v>
      </x:c>
    </x:row>
    <x:row r="463">
      <x:c r="A463" s="2" t="str">
        <x:v>CHK-00462</x:v>
      </x:c>
      <x:c r="B463" s="2" t="str">
        <x:v>FAC-3-0036</x:v>
      </x:c>
      <x:c r="C463" s="2" t="str">
        <x:v>77345678-K</x:v>
      </x:c>
      <x:c r="D463" s="2" t="str">
        <x:v>orden_compra</x:v>
      </x:c>
      <x:c r="E463" s="2" t="str">
        <x:v>cumplido</x:v>
      </x:c>
      <x:c r="F463" s="2" t="str">
        <x:v>pagador</x:v>
      </x:c>
      <x:c r="G463" s="15" t="d">
        <x:v>2026-09-19T00:00:00.000Z</x:v>
      </x:c>
      <x:c r="H463" s="2" t="str">
        <x:v>evidencias/FAC-3-0036-orden_compra.pdf</x:v>
      </x:c>
    </x:row>
    <x:row r="464">
      <x:c r="A464" s="2" t="str">
        <x:v>CHK-00463</x:v>
      </x:c>
      <x:c r="B464" s="2" t="str">
        <x:v>FAC-3-0036</x:v>
      </x:c>
      <x:c r="C464" s="2" t="str">
        <x:v>77345678-K</x:v>
      </x:c>
      <x:c r="D464" s="2" t="str">
        <x:v>hes_conformidad</x:v>
      </x:c>
      <x:c r="E464" s="2" t="str">
        <x:v>solicitado</x:v>
      </x:c>
      <x:c r="F464" s="2" t="str">
        <x:v>pagador</x:v>
      </x:c>
      <x:c r="G464" s="15" t="d">
        <x:v>2026-09-19T00:00:00.000Z</x:v>
      </x:c>
      <x:c r="H464" s="2" t="str"/>
    </x:row>
    <x:row r="465">
      <x:c r="A465" s="2" t="str">
        <x:v>CHK-00464</x:v>
      </x:c>
      <x:c r="B465" s="2" t="str">
        <x:v>FAC-3-0036</x:v>
      </x:c>
      <x:c r="C465" s="2" t="str">
        <x:v>77345678-K</x:v>
      </x:c>
      <x:c r="D465" s="2" t="str">
        <x:v>portal_proveedor</x:v>
      </x:c>
      <x:c r="E465" s="2" t="str">
        <x:v>cumplido</x:v>
      </x:c>
      <x:c r="F465" s="2" t="str">
        <x:v>operador</x:v>
      </x:c>
      <x:c r="G465" s="15" t="d">
        <x:v>2026-09-19T00:00:00.000Z</x:v>
      </x:c>
      <x:c r="H465" s="2" t="str">
        <x:v>evidencias/FAC-3-0036-portal_proveedor.pdf</x:v>
      </x:c>
    </x:row>
    <x:row r="466">
      <x:c r="A466" s="2" t="str">
        <x:v>CHK-00465</x:v>
      </x:c>
      <x:c r="B466" s="2" t="str">
        <x:v>FAC-3-0037</x:v>
      </x:c>
      <x:c r="C466" s="2" t="str">
        <x:v>77345678-K</x:v>
      </x:c>
      <x:c r="D466" s="2" t="str">
        <x:v>aceptacion_sii</x:v>
      </x:c>
      <x:c r="E466" s="2" t="str">
        <x:v>cumplido</x:v>
      </x:c>
      <x:c r="F466" s="2" t="str">
        <x:v>operador</x:v>
      </x:c>
      <x:c r="G466" s="15" t="d">
        <x:v>2026-09-20T00:00:00.000Z</x:v>
      </x:c>
      <x:c r="H466" s="2" t="str">
        <x:v>evidencias/FAC-3-0037-aceptacion_sii.pdf</x:v>
      </x:c>
    </x:row>
    <x:row r="467">
      <x:c r="A467" s="2" t="str">
        <x:v>CHK-00466</x:v>
      </x:c>
      <x:c r="B467" s="2" t="str">
        <x:v>FAC-3-0037</x:v>
      </x:c>
      <x:c r="C467" s="2" t="str">
        <x:v>77345678-K</x:v>
      </x:c>
      <x:c r="D467" s="2" t="str">
        <x:v>orden_compra</x:v>
      </x:c>
      <x:c r="E467" s="2" t="str">
        <x:v>cumplido</x:v>
      </x:c>
      <x:c r="F467" s="2" t="str">
        <x:v>pagador</x:v>
      </x:c>
      <x:c r="G467" s="15" t="d">
        <x:v>2026-09-20T00:00:00.000Z</x:v>
      </x:c>
      <x:c r="H467" s="2" t="str">
        <x:v>evidencias/FAC-3-0037-orden_compra.pdf</x:v>
      </x:c>
    </x:row>
    <x:row r="468">
      <x:c r="A468" s="2" t="str">
        <x:v>CHK-00467</x:v>
      </x:c>
      <x:c r="B468" s="2" t="str">
        <x:v>FAC-3-0037</x:v>
      </x:c>
      <x:c r="C468" s="2" t="str">
        <x:v>77345678-K</x:v>
      </x:c>
      <x:c r="D468" s="2" t="str">
        <x:v>hes_conformidad</x:v>
      </x:c>
      <x:c r="E468" s="2" t="str">
        <x:v>no_aplica</x:v>
      </x:c>
      <x:c r="F468" s="2" t="str">
        <x:v>sistema</x:v>
      </x:c>
      <x:c r="G468" s="15" t="d">
        <x:v>2026-09-20T00:00:00.000Z</x:v>
      </x:c>
      <x:c r="H468" s="2" t="str"/>
    </x:row>
    <x:row r="469">
      <x:c r="A469" s="2" t="str">
        <x:v>CHK-00468</x:v>
      </x:c>
      <x:c r="B469" s="2" t="str">
        <x:v>FAC-3-0037</x:v>
      </x:c>
      <x:c r="C469" s="2" t="str">
        <x:v>77345678-K</x:v>
      </x:c>
      <x:c r="D469" s="2" t="str">
        <x:v>portal_proveedor</x:v>
      </x:c>
      <x:c r="E469" s="2" t="str">
        <x:v>pendiente</x:v>
      </x:c>
      <x:c r="F469" s="2" t="str">
        <x:v>operador</x:v>
      </x:c>
      <x:c r="G469" s="15" t="d">
        <x:v>2026-09-20T00:00:00.000Z</x:v>
      </x:c>
      <x:c r="H469" s="2" t="str"/>
    </x:row>
    <x:row r="470">
      <x:c r="A470" s="2" t="str">
        <x:v>CHK-00469</x:v>
      </x:c>
      <x:c r="B470" s="2" t="str">
        <x:v>FAC-3-0038</x:v>
      </x:c>
      <x:c r="C470" s="2" t="str">
        <x:v>77345678-K</x:v>
      </x:c>
      <x:c r="D470" s="2" t="str">
        <x:v>aceptacion_sii</x:v>
      </x:c>
      <x:c r="E470" s="2" t="str">
        <x:v>cumplido</x:v>
      </x:c>
      <x:c r="F470" s="2" t="str">
        <x:v>operador</x:v>
      </x:c>
      <x:c r="G470" s="15" t="d">
        <x:v>2026-09-25T00:00:00.000Z</x:v>
      </x:c>
      <x:c r="H470" s="2" t="str">
        <x:v>evidencias/FAC-3-0038-aceptacion_sii.pdf</x:v>
      </x:c>
    </x:row>
    <x:row r="471">
      <x:c r="A471" s="2" t="str">
        <x:v>CHK-00470</x:v>
      </x:c>
      <x:c r="B471" s="2" t="str">
        <x:v>FAC-3-0038</x:v>
      </x:c>
      <x:c r="C471" s="2" t="str">
        <x:v>77345678-K</x:v>
      </x:c>
      <x:c r="D471" s="2" t="str">
        <x:v>orden_compra</x:v>
      </x:c>
      <x:c r="E471" s="2" t="str">
        <x:v>pendiente</x:v>
      </x:c>
      <x:c r="F471" s="2" t="str">
        <x:v>pagador</x:v>
      </x:c>
      <x:c r="G471" s="15" t="d">
        <x:v>2026-09-25T00:00:00.000Z</x:v>
      </x:c>
      <x:c r="H471" s="2" t="str"/>
    </x:row>
    <x:row r="472">
      <x:c r="A472" s="2" t="str">
        <x:v>CHK-00471</x:v>
      </x:c>
      <x:c r="B472" s="2" t="str">
        <x:v>FAC-3-0038</x:v>
      </x:c>
      <x:c r="C472" s="2" t="str">
        <x:v>77345678-K</x:v>
      </x:c>
      <x:c r="D472" s="2" t="str">
        <x:v>hes_conformidad</x:v>
      </x:c>
      <x:c r="E472" s="2" t="str">
        <x:v>cumplido</x:v>
      </x:c>
      <x:c r="F472" s="2" t="str">
        <x:v>pagador</x:v>
      </x:c>
      <x:c r="G472" s="15" t="d">
        <x:v>2026-09-25T00:00:00.000Z</x:v>
      </x:c>
      <x:c r="H472" s="2" t="str">
        <x:v>evidencias/FAC-3-0038-hes_conformidad.pdf</x:v>
      </x:c>
    </x:row>
    <x:row r="473">
      <x:c r="A473" s="2" t="str">
        <x:v>CHK-00472</x:v>
      </x:c>
      <x:c r="B473" s="2" t="str">
        <x:v>FAC-3-0038</x:v>
      </x:c>
      <x:c r="C473" s="2" t="str">
        <x:v>77345678-K</x:v>
      </x:c>
      <x:c r="D473" s="2" t="str">
        <x:v>portal_proveedor</x:v>
      </x:c>
      <x:c r="E473" s="2" t="str">
        <x:v>cumplido</x:v>
      </x:c>
      <x:c r="F473" s="2" t="str">
        <x:v>operador</x:v>
      </x:c>
      <x:c r="G473" s="15" t="d">
        <x:v>2026-09-25T00:00:00.000Z</x:v>
      </x:c>
      <x:c r="H473" s="2" t="str">
        <x:v>evidencias/FAC-3-0038-portal_proveedor.pdf</x:v>
      </x:c>
    </x:row>
    <x:row r="474">
      <x:c r="A474" s="2" t="str">
        <x:v>CHK-00473</x:v>
      </x:c>
      <x:c r="B474" s="2" t="str">
        <x:v>FAC-3-0039</x:v>
      </x:c>
      <x:c r="C474" s="2" t="str">
        <x:v>77345678-K</x:v>
      </x:c>
      <x:c r="D474" s="2" t="str">
        <x:v>aceptacion_sii</x:v>
      </x:c>
      <x:c r="E474" s="2" t="str">
        <x:v>cumplido</x:v>
      </x:c>
      <x:c r="F474" s="2" t="str">
        <x:v>operador</x:v>
      </x:c>
      <x:c r="G474" s="15" t="d">
        <x:v>2026-09-28T00:00:00.000Z</x:v>
      </x:c>
      <x:c r="H474" s="2" t="str">
        <x:v>evidencias/FAC-3-0039-aceptacion_sii.pdf</x:v>
      </x:c>
    </x:row>
    <x:row r="475">
      <x:c r="A475" s="2" t="str">
        <x:v>CHK-00474</x:v>
      </x:c>
      <x:c r="B475" s="2" t="str">
        <x:v>FAC-3-0039</x:v>
      </x:c>
      <x:c r="C475" s="2" t="str">
        <x:v>77345678-K</x:v>
      </x:c>
      <x:c r="D475" s="2" t="str">
        <x:v>orden_compra</x:v>
      </x:c>
      <x:c r="E475" s="2" t="str">
        <x:v>no_aplica</x:v>
      </x:c>
      <x:c r="F475" s="2" t="str">
        <x:v>sistema</x:v>
      </x:c>
      <x:c r="G475" s="15" t="d">
        <x:v>2026-09-28T00:00:00.000Z</x:v>
      </x:c>
      <x:c r="H475" s="2" t="str"/>
    </x:row>
    <x:row r="476">
      <x:c r="A476" s="2" t="str">
        <x:v>CHK-00475</x:v>
      </x:c>
      <x:c r="B476" s="2" t="str">
        <x:v>FAC-3-0039</x:v>
      </x:c>
      <x:c r="C476" s="2" t="str">
        <x:v>77345678-K</x:v>
      </x:c>
      <x:c r="D476" s="2" t="str">
        <x:v>hes_conformidad</x:v>
      </x:c>
      <x:c r="E476" s="2" t="str">
        <x:v>cumplido</x:v>
      </x:c>
      <x:c r="F476" s="2" t="str">
        <x:v>pagador</x:v>
      </x:c>
      <x:c r="G476" s="15" t="d">
        <x:v>2026-09-28T00:00:00.000Z</x:v>
      </x:c>
      <x:c r="H476" s="2" t="str">
        <x:v>evidencias/FAC-3-0039-hes_conformidad.pdf</x:v>
      </x:c>
    </x:row>
    <x:row r="477">
      <x:c r="A477" s="2" t="str">
        <x:v>CHK-00476</x:v>
      </x:c>
      <x:c r="B477" s="2" t="str">
        <x:v>FAC-3-0039</x:v>
      </x:c>
      <x:c r="C477" s="2" t="str">
        <x:v>77345678-K</x:v>
      </x:c>
      <x:c r="D477" s="2" t="str">
        <x:v>portal_proveedor</x:v>
      </x:c>
      <x:c r="E477" s="2" t="str">
        <x:v>cumplido</x:v>
      </x:c>
      <x:c r="F477" s="2" t="str">
        <x:v>operador</x:v>
      </x:c>
      <x:c r="G477" s="15" t="d">
        <x:v>2026-09-28T00:00:00.000Z</x:v>
      </x:c>
      <x:c r="H477" s="2" t="str">
        <x:v>evidencias/FAC-3-0039-portal_proveedor.pdf</x:v>
      </x:c>
    </x:row>
    <x:row r="478">
      <x:c r="A478" s="2" t="str">
        <x:v>CHK-00477</x:v>
      </x:c>
      <x:c r="B478" s="2" t="str">
        <x:v>FAC-3-0040</x:v>
      </x:c>
      <x:c r="C478" s="2" t="str">
        <x:v>77345678-K</x:v>
      </x:c>
      <x:c r="D478" s="2" t="str">
        <x:v>aceptacion_sii</x:v>
      </x:c>
      <x:c r="E478" s="2" t="str">
        <x:v>reclamado</x:v>
      </x:c>
      <x:c r="F478" s="2" t="str">
        <x:v>operador</x:v>
      </x:c>
      <x:c r="G478" s="15" t="d">
        <x:v>2026-10-01T00:00:00.000Z</x:v>
      </x:c>
      <x:c r="H478" s="2" t="str"/>
    </x:row>
    <x:row r="479">
      <x:c r="A479" s="2" t="str">
        <x:v>CHK-00478</x:v>
      </x:c>
      <x:c r="B479" s="2" t="str">
        <x:v>FAC-3-0040</x:v>
      </x:c>
      <x:c r="C479" s="2" t="str">
        <x:v>77345678-K</x:v>
      </x:c>
      <x:c r="D479" s="2" t="str">
        <x:v>orden_compra</x:v>
      </x:c>
      <x:c r="E479" s="2" t="str">
        <x:v>cumplido</x:v>
      </x:c>
      <x:c r="F479" s="2" t="str">
        <x:v>pagador</x:v>
      </x:c>
      <x:c r="G479" s="15" t="d">
        <x:v>2026-10-01T00:00:00.000Z</x:v>
      </x:c>
      <x:c r="H479" s="2" t="str">
        <x:v>evidencias/FAC-3-0040-orden_compra.pdf</x:v>
      </x:c>
    </x:row>
    <x:row r="480">
      <x:c r="A480" s="2" t="str">
        <x:v>CHK-00479</x:v>
      </x:c>
      <x:c r="B480" s="2" t="str">
        <x:v>FAC-3-0040</x:v>
      </x:c>
      <x:c r="C480" s="2" t="str">
        <x:v>77345678-K</x:v>
      </x:c>
      <x:c r="D480" s="2" t="str">
        <x:v>hes_conformidad</x:v>
      </x:c>
      <x:c r="E480" s="2" t="str">
        <x:v>no_aplica</x:v>
      </x:c>
      <x:c r="F480" s="2" t="str">
        <x:v>sistema</x:v>
      </x:c>
      <x:c r="G480" s="15" t="d">
        <x:v>2026-10-01T00:00:00.000Z</x:v>
      </x:c>
      <x:c r="H480" s="2" t="str"/>
    </x:row>
    <x:row r="481">
      <x:c r="A481" s="2" t="str">
        <x:v>CHK-00480</x:v>
      </x:c>
      <x:c r="B481" s="2" t="str">
        <x:v>FAC-3-0040</x:v>
      </x:c>
      <x:c r="C481" s="2" t="str">
        <x:v>77345678-K</x:v>
      </x:c>
      <x:c r="D481" s="2" t="str">
        <x:v>portal_proveedor</x:v>
      </x:c>
      <x:c r="E481" s="2" t="str">
        <x:v>cumplido</x:v>
      </x:c>
      <x:c r="F481" s="2" t="str">
        <x:v>operador</x:v>
      </x:c>
      <x:c r="G481" s="15" t="d">
        <x:v>2026-10-01T00:00:00.000Z</x:v>
      </x:c>
      <x:c r="H481" s="2" t="str">
        <x:v>evidencias/FAC-3-0040-portal_proveedor.pdf</x:v>
      </x:c>
    </x:row>
  </x:sheetData>
  <x:conditionalFormatting sqref="E2:E481">
    <x:cfRule type="containsText" dxfId="3" priority="1" operator="containsText" text="pendiente"/>
    <x:cfRule type="containsText" dxfId="4" priority="2" operator="containsText" text="reclamado"/>
  </x:conditionalFormatting>
  <x:pageMargins left="0.7" right="0.7" top="0.75" bottom="0.75" header="0.3" footer="0.3"/>
  <x:tableParts count="1">
    <x:tablePart xmlns:r="http://schemas.openxmlformats.org/officeDocument/2006/relationships" r:id="R7661c86c5c3e4805"/>
  </x:tableParts>
</x:worksheet>
</file>

<file path=xl/worksheets/sheet8.xml><?xml version="1.0" encoding="utf-8"?>
<x:worksheet xmlns:x="http://schemas.openxmlformats.org/spreadsheetml/2006/main">
  <x:sheetPr>
    <x:tabColor rgb="FFB9554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630000114440918" hidden="0" customWidth="1"/>
    <x:col min="2" max="2" width="34" hidden="0" customWidth="1"/>
    <x:col min="3" max="3" width="16" hidden="0" customWidth="1"/>
    <x:col min="4" max="4" width="7.380000114440918" hidden="0" customWidth="1"/>
    <x:col min="5" max="5" width="14.630000114440918" hidden="0" customWidth="1"/>
    <x:col min="6" max="6" width="18.1299991607666" hidden="0" customWidth="1"/>
    <x:col min="7" max="7" width="12" hidden="0" customWidth="1"/>
    <x:col min="8" max="8" width="9.380000114440918" hidden="0" customWidth="1"/>
    <x:col min="9" max="9" width="5.5" hidden="0" customWidth="1"/>
    <x:col min="10" max="10" width="38" hidden="0" customWidth="1"/>
  </x:cols>
  <x:sheetData>
    <x:row r="1" ht="34" customHeight="1">
      <x:c r="A1" s="11" t="str">
        <x:v>RUT receptor</x:v>
      </x:c>
      <x:c r="B1" s="12" t="str">
        <x:v>Razón social</x:v>
      </x:c>
      <x:c r="C1" s="12" t="str">
        <x:v>Tipo documento</x:v>
      </x:c>
      <x:c r="D1" s="12" t="str">
        <x:v>Folio</x:v>
      </x:c>
      <x:c r="E1" s="12" t="str">
        <x:v>Fecha emisión</x:v>
      </x:c>
      <x:c r="F1" s="12" t="str">
        <x:v>Fecha vencimiento</x:v>
      </x:c>
      <x:c r="G1" s="12" t="str">
        <x:v>Monto total</x:v>
      </x:c>
      <x:c r="H1" s="12" t="str">
        <x:v>Moneda</x:v>
      </x:c>
      <x:c r="I1" s="12" t="str">
        <x:v>OC</x:v>
      </x:c>
      <x:c r="J1" s="13" t="str">
        <x:v>Error esperado</x:v>
      </x:c>
    </x:row>
    <x:row r="2">
      <x:c r="A2" s="18" t="str">
        <x:v>76.086.428-4</x:v>
      </x:c>
      <x:c r="B2" s="18" t="str">
        <x:v>Pagador con RUT inválido</x:v>
      </x:c>
      <x:c r="C2" s="18" t="str">
        <x:v>factura</x:v>
      </x:c>
      <x:c r="D2" s="18" t="str">
        <x:v>ERR-001</x:v>
      </x:c>
      <x:c r="E2" s="19" t="d">
        <x:v>2026-10-01T00:00:00.000Z</x:v>
      </x:c>
      <x:c r="F2" s="19" t="d">
        <x:v>2026-10-31T00:00:00.000Z</x:v>
      </x:c>
      <x:c r="G2" s="20" t="n">
        <x:v>500000</x:v>
      </x:c>
      <x:c r="H2" s="18" t="str">
        <x:v>CLP</x:v>
      </x:c>
      <x:c r="I2" s="18" t="str"/>
      <x:c r="J2" s="18" t="str">
        <x:v>RUT inválido</x:v>
      </x:c>
    </x:row>
    <x:row r="3">
      <x:c r="A3" s="18" t="str">
        <x:v>96000111-7</x:v>
      </x:c>
      <x:c r="B3" s="18" t="str">
        <x:v>Minera Horizonte S.A.</x:v>
      </x:c>
      <x:c r="C3" s="18" t="str">
        <x:v>factura</x:v>
      </x:c>
      <x:c r="D3" s="18" t="str"/>
      <x:c r="E3" s="19" t="d">
        <x:v>2026-10-01T00:00:00.000Z</x:v>
      </x:c>
      <x:c r="F3" s="19" t="d">
        <x:v>2026-10-31T00:00:00.000Z</x:v>
      </x:c>
      <x:c r="G3" s="20" t="n">
        <x:v>500000</x:v>
      </x:c>
      <x:c r="H3" s="18" t="str">
        <x:v>CLP</x:v>
      </x:c>
      <x:c r="I3" s="18" t="str">
        <x:v>OC-1</x:v>
      </x:c>
      <x:c r="J3" s="18" t="str">
        <x:v>Folio vacío</x:v>
      </x:c>
    </x:row>
    <x:row r="4">
      <x:c r="A4" s="18" t="str">
        <x:v>96000111-7</x:v>
      </x:c>
      <x:c r="B4" s="18" t="str">
        <x:v>Minera Horizonte S.A.</x:v>
      </x:c>
      <x:c r="C4" s="18" t="str">
        <x:v>factura</x:v>
      </x:c>
      <x:c r="D4" s="18" t="str">
        <x:v>ERR-003</x:v>
      </x:c>
      <x:c r="E4" s="19" t="d">
        <x:v>2026-10-20T00:00:00.000Z</x:v>
      </x:c>
      <x:c r="F4" s="19" t="d">
        <x:v>2026-10-10T00:00:00.000Z</x:v>
      </x:c>
      <x:c r="G4" s="20" t="n">
        <x:v>500000</x:v>
      </x:c>
      <x:c r="H4" s="18" t="str">
        <x:v>CLP</x:v>
      </x:c>
      <x:c r="I4" s="18" t="str">
        <x:v>OC-2</x:v>
      </x:c>
      <x:c r="J4" s="18" t="str">
        <x:v>Vencimiento anterior a emisión</x:v>
      </x:c>
    </x:row>
    <x:row r="5">
      <x:c r="A5" s="18" t="str">
        <x:v>96000222-9</x:v>
      </x:c>
      <x:c r="B5" s="18" t="str">
        <x:v>Retail Pórtico S.A.</x:v>
      </x:c>
      <x:c r="C5" s="18" t="str">
        <x:v>factura</x:v>
      </x:c>
      <x:c r="D5" s="18" t="str">
        <x:v>ERR-004</x:v>
      </x:c>
      <x:c r="E5" s="19" t="d">
        <x:v>2026-10-01T00:00:00.000Z</x:v>
      </x:c>
      <x:c r="F5" s="19" t="d">
        <x:v>2026-10-31T00:00:00.000Z</x:v>
      </x:c>
      <x:c r="G5" s="20" t="n">
        <x:v>0</x:v>
      </x:c>
      <x:c r="H5" s="18" t="str">
        <x:v>CLP</x:v>
      </x:c>
      <x:c r="I5" s="18" t="str">
        <x:v>OC-3</x:v>
      </x:c>
      <x:c r="J5" s="18" t="str">
        <x:v>Monto igual a cero</x:v>
      </x:c>
    </x:row>
    <x:row r="6">
      <x:c r="A6" s="18" t="str">
        <x:v>96000222-9</x:v>
      </x:c>
      <x:c r="B6" s="18" t="str">
        <x:v>Retail Pórtico S.A.</x:v>
      </x:c>
      <x:c r="C6" s="18" t="str">
        <x:v>factura</x:v>
      </x:c>
      <x:c r="D6" s="18" t="str">
        <x:v>ERR-005</x:v>
      </x:c>
      <x:c r="E6" s="19" t="d">
        <x:v>2026-10-01T00:00:00.000Z</x:v>
      </x:c>
      <x:c r="F6" s="19" t="d">
        <x:v>2026-10-31T00:00:00.000Z</x:v>
      </x:c>
      <x:c r="G6" s="20" t="n">
        <x:v>-100000</x:v>
      </x:c>
      <x:c r="H6" s="18" t="str">
        <x:v>CLP</x:v>
      </x:c>
      <x:c r="I6" s="18" t="str">
        <x:v>OC-4</x:v>
      </x:c>
      <x:c r="J6" s="18" t="str">
        <x:v>Monto negativo</x:v>
      </x:c>
    </x:row>
    <x:row r="7">
      <x:c r="A7" s="18" t="str">
        <x:v>96000333-0</x:v>
      </x:c>
      <x:c r="B7" s="18" t="str">
        <x:v>Energía Austral SpA</x:v>
      </x:c>
      <x:c r="C7" s="18" t="str">
        <x:v>factura</x:v>
      </x:c>
      <x:c r="D7" s="18" t="str">
        <x:v>DUP-001</x:v>
      </x:c>
      <x:c r="E7" s="19" t="d">
        <x:v>2026-10-01T00:00:00.000Z</x:v>
      </x:c>
      <x:c r="F7" s="19" t="d">
        <x:v>2026-10-31T00:00:00.000Z</x:v>
      </x:c>
      <x:c r="G7" s="20" t="n">
        <x:v>300000</x:v>
      </x:c>
      <x:c r="H7" s="18" t="str">
        <x:v>CLP</x:v>
      </x:c>
      <x:c r="I7" s="18" t="str">
        <x:v>OC-5</x:v>
      </x:c>
      <x:c r="J7" s="18" t="str">
        <x:v>Primera fila del duplicado</x:v>
      </x:c>
    </x:row>
    <x:row r="8">
      <x:c r="A8" s="18" t="str">
        <x:v>96000333-0</x:v>
      </x:c>
      <x:c r="B8" s="18" t="str">
        <x:v>Energía Austral SpA</x:v>
      </x:c>
      <x:c r="C8" s="18" t="str">
        <x:v>factura</x:v>
      </x:c>
      <x:c r="D8" s="18" t="str">
        <x:v>DUP-001</x:v>
      </x:c>
      <x:c r="E8" s="19" t="d">
        <x:v>2026-10-02T00:00:00.000Z</x:v>
      </x:c>
      <x:c r="F8" s="19" t="d">
        <x:v>2026-11-01T00:00:00.000Z</x:v>
      </x:c>
      <x:c r="G8" s="20" t="n">
        <x:v>300000</x:v>
      </x:c>
      <x:c r="H8" s="18" t="str">
        <x:v>CLP</x:v>
      </x:c>
      <x:c r="I8" s="18" t="str">
        <x:v>OC-6</x:v>
      </x:c>
      <x:c r="J8" s="18" t="str">
        <x:v>Folio duplicado</x:v>
      </x:c>
    </x:row>
  </x:sheetData>
  <x:pageMargins left="0.7" right="0.7" top="0.75" bottom="0.75" header="0.3" footer="0.3"/>
  <x:tableParts count="1">
    <x:tablePart xmlns:r="http://schemas.openxmlformats.org/officeDocument/2006/relationships" r:id="R5090690e1d834331"/>
  </x:tableParts>
</x:worksheet>
</file>

<file path=xl/worksheets/sheet9.xml><?xml version="1.0" encoding="utf-8"?>
<x:worksheet xmlns:x="http://schemas.openxmlformats.org/spreadsheetml/2006/main">
  <x:sheetPr>
    <x:tabColor rgb="FF6B756F"/>
  </x:sheetPr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2">
      <x:c r="A2" s="21" t="str">
        <x:v>Guía de uso del dataset</x:v>
      </x:c>
    </x:row>
    <x:row r="3">
      <x:c r="A3" s="22"/>
      <x:c r="B3" s="22"/>
      <x:c r="C3" s="22"/>
      <x:c r="D3" s="22"/>
      <x:c r="E3" s="22"/>
      <x:c r="F3" s="22"/>
    </x:row>
    <x:row r="5" ht="15" hidden="0" customHeight="1">
      <x:c r="A5" s="35" t="str">
        <x:v>Contenido</x:v>
      </x:c>
      <x:c r="B5" s="36" t="str">
        <x:v>Descripción</x:v>
      </x:c>
    </x:row>
    <x:row r="6" ht="15" hidden="0" customHeight="1">
      <x:c r="A6" s="65" t="str">
        <x:v>Resumen</x:v>
      </x:c>
      <x:c r="B6" s="66" t="str">
        <x:v>Indicadores calculados desde Facturas y Pagos con fecha de corte 2026-10-14.</x:v>
      </x:c>
    </x:row>
    <x:row r="7" ht="15" hidden="0" customHeight="1">
      <x:c r="A7" s="65" t="str">
        <x:v>Facturas</x:v>
      </x:c>
      <x:c r="B7" s="66" t="str">
        <x:v>120 facturas de tres pymes, con pagadores compartidos y distintos estados documentales y de pago.</x:v>
      </x:c>
    </x:row>
    <x:row r="8" ht="24" hidden="0" customHeight="1">
      <x:c r="A8" s="65" t="str">
        <x:v>Contactos</x:v>
      </x:c>
      <x:c r="B8" s="66" t="str">
        <x:v>Contactos por relación pyme-pagador. Se usa example.com, dominio reservado para documentación, para evitar envíos accidentales.</x:v>
      </x:c>
    </x:row>
    <x:row r="9" ht="15" hidden="0" customHeight="1">
      <x:c r="A9" s="65" t="str">
        <x:v>Pagadores</x:v>
      </x:c>
      <x:c r="B9" s="66" t="str">
        <x:v>Requisitos operativos ficticios: OC, HES, portal, plazo y ciclo de pago.</x:v>
      </x:c>
    </x:row>
    <x:row r="10" ht="15" hidden="0" customHeight="1">
      <x:c r="A10" s="65" t="str">
        <x:v>Pymes</x:v>
      </x:c>
      <x:c r="B10" s="66" t="str">
        <x:v>Tres clientes ficticios con línea base de DSO.</x:v>
      </x:c>
    </x:row>
    <x:row r="11" ht="15" hidden="0" customHeight="1">
      <x:c r="A11" s="65" t="str">
        <x:v>Pagos</x:v>
      </x:c>
      <x:c r="B11" s="66" t="str">
        <x:v>Pagos asociados a facturas. Algunos están sin verificar para probar la conciliación.</x:v>
      </x:c>
    </x:row>
    <x:row r="12" ht="15" hidden="0" customHeight="1">
      <x:c r="A12" s="65" t="str">
        <x:v>Checklist</x:v>
      </x:c>
      <x:c r="B12" s="66" t="str">
        <x:v>Cuatro ítems de pagabilidad por factura: SII, OC, HES y portal.</x:v>
      </x:c>
    </x:row>
    <x:row r="13" ht="15" hidden="0" customHeight="1">
      <x:c r="A13" s="65" t="str">
        <x:v>Casos inválidos</x:v>
      </x:c>
      <x:c r="B13" s="66" t="str">
        <x:v>Filas diseñadas para ser rechazadas por el importador.</x:v>
      </x:c>
    </x:row>
    <x:row r="14" ht="15" hidden="0" customHeight="1">
      <x:c r="A14" s="65" t="str">
        <x:v>Archivos CSV</x:v>
      </x:c>
      <x:c r="B14" s="66" t="str">
        <x:v>La carpeta data/demo/imports contiene facturas y contactos separados por pyme, más casos inválidos.</x:v>
      </x:c>
    </x:row>
    <x:row r="15" ht="15" hidden="0" customHeight="1">
      <x:c r="A15" s="67" t="str">
        <x:v>Privacidad</x:v>
      </x:c>
      <x:c r="B15" s="68" t="str">
        <x:v>Los datos son completamente sintéticos. No usar correos o teléfonos como si fueran contactos reales.</x:v>
      </x:c>
    </x:row>
  </x:sheetData>
  <x:mergeCells>
    <x:mergeCell ref="A2:F2"/>
  </x:mergeCells>
  <x:pageMargins left="0.7" right="0.7" top="0.75" bottom="0.75" header="0.3" footer="0.3"/>
</x:worksheet>
</file>